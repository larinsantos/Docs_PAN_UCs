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ables/table3.xml" ContentType="application/vnd.openxmlformats-officedocument.spreadsheetml.table+xml"/>
  <Override PartName="/xl/tables/table4.xml" ContentType="application/vnd.openxmlformats-officedocument.spreadsheetml.table+xml"/>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hreadedComments/threadedComment1.xml" ContentType="application/vnd.ms-excel.threadedcomments+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xl/tables/table7.xml" ContentType="application/vnd.openxmlformats-officedocument.spreadsheetml.table+xml"/>
  <Override PartName="/xl/persons/person.xml" ContentType="application/vnd.ms-excel.person+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15" yWindow="4545" windowWidth="21660" windowHeight="5400" tabRatio="850"/>
  </bookViews>
  <sheets>
    <sheet name="Resumo-Legendas" sheetId="2" r:id="rId1"/>
    <sheet name="Perfil UCs do Sul" sheetId="12" r:id="rId2"/>
    <sheet name="Espécies nas UCs" sheetId="4" r:id="rId3"/>
    <sheet name="PANs no Sul" sheetId="14" r:id="rId4"/>
    <sheet name="Espécies em PAN" sheetId="13" r:id="rId5"/>
    <sheet name="validação" sheetId="15" r:id="rId6"/>
    <sheet name="Tabela Espécies ameaçadas e RV" sheetId="25" r:id="rId7"/>
  </sheets>
  <definedNames>
    <definedName name="_xlnm._FilterDatabase" localSheetId="3" hidden="1">'PANs no Sul'!$A$2:$K$2</definedName>
    <definedName name="_xlnm._FilterDatabase" localSheetId="1" hidden="1">'Perfil UCs do Sul'!$A$2:$AF$43</definedName>
    <definedName name="_xlnm._FilterDatabase" localSheetId="5" hidden="1">validação!$A$2:$D$264</definedName>
    <definedName name="Campo" localSheetId="3">#REF!</definedName>
    <definedName name="Campo" localSheetId="1">#REF!</definedName>
    <definedName name="Campo">#REF!</definedName>
    <definedName name="Cozinha" localSheetId="3">#REF!</definedName>
    <definedName name="Cozinha" localSheetId="1">#REF!</definedName>
    <definedName name="Cozinha">#REF!</definedName>
    <definedName name="Eletronicos" localSheetId="3">#REF!</definedName>
    <definedName name="Eletronicos" localSheetId="1">#REF!</definedName>
    <definedName name="Eletronicos">#REF!</definedName>
    <definedName name="Escritório" localSheetId="1">#REF!</definedName>
    <definedName name="Escritório">#REF!</definedName>
    <definedName name="Espécie">validação!$A$3:$A$147</definedName>
  </definedName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41" i="4"/>
  <c r="J64"/>
  <c r="D4"/>
  <c r="J5"/>
  <c r="J4"/>
  <c r="D5"/>
  <c r="D6"/>
  <c r="D7"/>
  <c r="D8"/>
  <c r="D9"/>
  <c r="D10"/>
  <c r="D11"/>
  <c r="D12"/>
  <c r="D13"/>
  <c r="D14"/>
  <c r="D15"/>
  <c r="D16"/>
  <c r="D17"/>
  <c r="D18"/>
  <c r="D19"/>
  <c r="D20"/>
  <c r="D21"/>
  <c r="D22"/>
  <c r="D23"/>
  <c r="D24"/>
  <c r="D25"/>
  <c r="D26"/>
  <c r="D27"/>
  <c r="D28"/>
  <c r="D29"/>
  <c r="D30"/>
  <c r="D31"/>
  <c r="D32"/>
  <c r="D33"/>
  <c r="D34"/>
  <c r="D35"/>
  <c r="D36"/>
  <c r="D37"/>
  <c r="D38"/>
  <c r="D39"/>
  <c r="D40"/>
  <c r="D41"/>
  <c r="D42"/>
  <c r="D43"/>
  <c r="D44"/>
  <c r="D45"/>
  <c r="D46"/>
  <c r="D47"/>
  <c r="D48"/>
  <c r="D49"/>
  <c r="D50"/>
  <c r="D51"/>
  <c r="D52"/>
  <c r="D53"/>
  <c r="D54"/>
  <c r="D55"/>
  <c r="D56"/>
  <c r="D57"/>
  <c r="D58"/>
  <c r="D59"/>
  <c r="D60"/>
  <c r="D61"/>
  <c r="D62"/>
  <c r="D63"/>
  <c r="D64"/>
  <c r="D65"/>
  <c r="D66"/>
  <c r="D67"/>
  <c r="D68"/>
  <c r="D69"/>
  <c r="D70"/>
  <c r="D71"/>
  <c r="D72"/>
  <c r="D73"/>
  <c r="D74"/>
  <c r="D75"/>
  <c r="D76"/>
  <c r="D77"/>
  <c r="D78"/>
  <c r="D79"/>
  <c r="D80"/>
  <c r="D81"/>
  <c r="D82"/>
  <c r="D83"/>
  <c r="D84"/>
  <c r="D85"/>
  <c r="D86"/>
  <c r="D87"/>
  <c r="D88"/>
  <c r="D89"/>
  <c r="D90"/>
  <c r="D91"/>
  <c r="D92"/>
  <c r="D93"/>
  <c r="D94"/>
  <c r="D95"/>
  <c r="D96"/>
  <c r="D97"/>
  <c r="D98"/>
  <c r="D99"/>
  <c r="D100"/>
  <c r="D101"/>
  <c r="D102"/>
  <c r="D103"/>
  <c r="D104"/>
  <c r="D105"/>
  <c r="D106"/>
  <c r="D107"/>
  <c r="D108"/>
  <c r="D109"/>
  <c r="D110"/>
  <c r="D111"/>
  <c r="D112"/>
  <c r="D113"/>
  <c r="D114"/>
  <c r="D115"/>
  <c r="D116"/>
  <c r="D117"/>
  <c r="D118"/>
  <c r="D119"/>
  <c r="D120"/>
  <c r="D121"/>
  <c r="D122"/>
  <c r="D123"/>
  <c r="D124"/>
  <c r="D125"/>
  <c r="D126"/>
  <c r="D127"/>
  <c r="D128"/>
  <c r="D129"/>
  <c r="D130"/>
  <c r="D131"/>
  <c r="D132"/>
  <c r="D133"/>
  <c r="D134"/>
  <c r="D135"/>
  <c r="D136"/>
  <c r="D137"/>
  <c r="D138"/>
  <c r="D139"/>
  <c r="D140"/>
  <c r="D141"/>
  <c r="D142"/>
  <c r="D143"/>
  <c r="D144"/>
  <c r="D145"/>
  <c r="D146"/>
  <c r="D147"/>
  <c r="D148"/>
  <c r="D149"/>
  <c r="D150"/>
  <c r="D151"/>
  <c r="D152"/>
  <c r="D153"/>
  <c r="D154"/>
  <c r="D155"/>
  <c r="D156"/>
  <c r="D157"/>
  <c r="D158"/>
  <c r="D159"/>
  <c r="D160"/>
  <c r="D161"/>
  <c r="D162"/>
  <c r="D163"/>
  <c r="D164"/>
  <c r="D165"/>
  <c r="D166"/>
  <c r="D167"/>
  <c r="D168"/>
  <c r="D169"/>
  <c r="D170"/>
  <c r="D171"/>
  <c r="D172"/>
  <c r="D173"/>
  <c r="D174"/>
  <c r="D175"/>
  <c r="D176"/>
  <c r="D177"/>
  <c r="D178"/>
  <c r="D179"/>
  <c r="D180"/>
  <c r="D181"/>
  <c r="D182"/>
  <c r="D183"/>
  <c r="D184"/>
  <c r="D185"/>
  <c r="D186"/>
  <c r="D187"/>
  <c r="D188"/>
  <c r="D189"/>
  <c r="D190"/>
  <c r="D191"/>
  <c r="D192"/>
  <c r="D193"/>
  <c r="D194"/>
  <c r="D195"/>
  <c r="D196"/>
  <c r="D197"/>
  <c r="D198"/>
  <c r="D199"/>
  <c r="D200"/>
  <c r="D201"/>
  <c r="D202"/>
  <c r="D203"/>
  <c r="D204"/>
  <c r="D205"/>
  <c r="D206"/>
  <c r="D207"/>
  <c r="D208"/>
  <c r="D209"/>
  <c r="D210"/>
  <c r="D211"/>
  <c r="D212"/>
  <c r="D213"/>
  <c r="D214"/>
  <c r="D215"/>
  <c r="D216"/>
  <c r="D217"/>
  <c r="D218"/>
  <c r="D219"/>
  <c r="D220"/>
  <c r="D221"/>
  <c r="D222"/>
  <c r="D223"/>
  <c r="D224"/>
  <c r="D225"/>
  <c r="D226"/>
  <c r="D227"/>
  <c r="D228"/>
  <c r="D229"/>
  <c r="D230"/>
  <c r="D231"/>
  <c r="D232"/>
  <c r="D233"/>
  <c r="D234"/>
  <c r="D235"/>
  <c r="D236"/>
  <c r="D237"/>
  <c r="D238"/>
  <c r="D239"/>
  <c r="D240"/>
  <c r="D241"/>
  <c r="D242"/>
  <c r="D243"/>
  <c r="D244"/>
  <c r="D245"/>
  <c r="D246"/>
  <c r="D247"/>
  <c r="D248"/>
  <c r="D249"/>
  <c r="D250"/>
  <c r="D251"/>
  <c r="D252"/>
  <c r="D253"/>
  <c r="D254"/>
  <c r="D255"/>
  <c r="D256"/>
  <c r="D257"/>
  <c r="D258"/>
  <c r="D259"/>
  <c r="D260"/>
  <c r="D261"/>
  <c r="D262"/>
  <c r="D263"/>
  <c r="D264"/>
  <c r="D265"/>
  <c r="D266"/>
  <c r="D267"/>
  <c r="D268"/>
  <c r="D269"/>
  <c r="D270"/>
  <c r="D271"/>
  <c r="D272"/>
  <c r="D273"/>
  <c r="D274"/>
  <c r="D275"/>
  <c r="D276"/>
  <c r="D277"/>
  <c r="D278"/>
  <c r="D279"/>
  <c r="D280"/>
  <c r="D281"/>
  <c r="D282"/>
  <c r="D283"/>
  <c r="D284"/>
  <c r="D285"/>
  <c r="D286"/>
  <c r="D287"/>
  <c r="D288"/>
  <c r="D289"/>
  <c r="D290"/>
  <c r="D291"/>
  <c r="D292"/>
  <c r="D293"/>
  <c r="D294"/>
  <c r="D295"/>
  <c r="D296"/>
  <c r="D297"/>
  <c r="D298"/>
  <c r="D299"/>
  <c r="D300"/>
  <c r="D301"/>
  <c r="D302"/>
  <c r="D303"/>
  <c r="D304"/>
  <c r="D305"/>
  <c r="D306"/>
  <c r="D307"/>
  <c r="D308"/>
  <c r="D309"/>
  <c r="D310"/>
  <c r="D311"/>
  <c r="D312"/>
  <c r="D313"/>
  <c r="D314"/>
  <c r="D315"/>
  <c r="D316"/>
  <c r="D317"/>
  <c r="D318"/>
  <c r="D319"/>
  <c r="D320"/>
  <c r="D321"/>
  <c r="D322"/>
  <c r="D323"/>
  <c r="D324"/>
  <c r="D325"/>
  <c r="D326"/>
  <c r="D327"/>
  <c r="D328"/>
  <c r="D329"/>
  <c r="D330"/>
  <c r="D331"/>
  <c r="D332"/>
  <c r="D333"/>
  <c r="D334"/>
  <c r="D335"/>
  <c r="D336"/>
  <c r="D337"/>
  <c r="D338"/>
  <c r="D339"/>
  <c r="D340"/>
  <c r="D341"/>
  <c r="D342"/>
  <c r="D343"/>
  <c r="D344"/>
  <c r="D345"/>
  <c r="D346"/>
  <c r="D347"/>
  <c r="D348"/>
  <c r="D349"/>
  <c r="D350"/>
  <c r="D351"/>
  <c r="D352"/>
  <c r="D353"/>
  <c r="D354"/>
  <c r="D355"/>
  <c r="D356"/>
  <c r="D357"/>
  <c r="D358"/>
  <c r="D359"/>
  <c r="D360"/>
  <c r="D361"/>
  <c r="D362"/>
  <c r="D363"/>
  <c r="D364"/>
  <c r="D365"/>
  <c r="D366"/>
  <c r="D367"/>
  <c r="D368"/>
  <c r="D369"/>
  <c r="D370"/>
  <c r="D371"/>
  <c r="D372"/>
  <c r="D373"/>
  <c r="D374"/>
  <c r="D375"/>
  <c r="D376"/>
  <c r="D377"/>
  <c r="D378"/>
  <c r="D379"/>
  <c r="D380"/>
  <c r="D381"/>
  <c r="D382"/>
  <c r="D383"/>
  <c r="D384"/>
  <c r="D385"/>
  <c r="D386"/>
  <c r="D387"/>
  <c r="D388"/>
  <c r="D389"/>
  <c r="D390"/>
  <c r="D391"/>
  <c r="D392"/>
  <c r="D393"/>
  <c r="D394"/>
  <c r="D395"/>
  <c r="D396"/>
  <c r="D397"/>
  <c r="D398"/>
  <c r="D399"/>
  <c r="D400"/>
  <c r="D401"/>
  <c r="D402"/>
  <c r="D403"/>
  <c r="D404"/>
  <c r="D405"/>
  <c r="D406"/>
  <c r="D407"/>
  <c r="D408"/>
  <c r="D409"/>
  <c r="D410"/>
  <c r="D411"/>
  <c r="D412"/>
  <c r="D413"/>
  <c r="D414"/>
  <c r="D415"/>
  <c r="D416"/>
  <c r="D417"/>
  <c r="D418"/>
  <c r="D419"/>
  <c r="D420"/>
  <c r="D421"/>
  <c r="D422"/>
  <c r="D423"/>
  <c r="D424"/>
  <c r="D425"/>
  <c r="D426"/>
  <c r="D427"/>
  <c r="D428"/>
  <c r="D429"/>
  <c r="D430"/>
  <c r="D431"/>
  <c r="D432"/>
  <c r="D433"/>
  <c r="D434"/>
  <c r="D435"/>
  <c r="D436"/>
  <c r="D437"/>
  <c r="D438"/>
  <c r="D439"/>
  <c r="D440"/>
  <c r="D441"/>
  <c r="D442"/>
  <c r="D443"/>
  <c r="D444"/>
  <c r="D445"/>
  <c r="D446"/>
  <c r="J6"/>
  <c r="J7"/>
  <c r="J8"/>
  <c r="J9"/>
  <c r="J10"/>
  <c r="J11"/>
  <c r="J12"/>
  <c r="J13"/>
  <c r="J14"/>
  <c r="J15"/>
  <c r="J16"/>
  <c r="J17"/>
  <c r="J18"/>
  <c r="J19"/>
  <c r="J20"/>
  <c r="J21"/>
  <c r="J22"/>
  <c r="J23"/>
  <c r="J24"/>
  <c r="J25"/>
  <c r="J26"/>
  <c r="J27"/>
  <c r="J28"/>
  <c r="J29"/>
  <c r="J30"/>
  <c r="J31"/>
  <c r="J32"/>
  <c r="J33"/>
  <c r="J34"/>
  <c r="J35"/>
  <c r="J36"/>
  <c r="J37"/>
  <c r="J38"/>
  <c r="J39"/>
  <c r="J40"/>
  <c r="J41"/>
  <c r="J42"/>
  <c r="J43"/>
  <c r="J44"/>
  <c r="J45"/>
  <c r="J46"/>
  <c r="J47"/>
  <c r="J48"/>
  <c r="J49"/>
  <c r="J50"/>
  <c r="J51"/>
  <c r="J52"/>
  <c r="J53"/>
  <c r="J54"/>
  <c r="J55"/>
  <c r="J56"/>
  <c r="J57"/>
  <c r="J58"/>
  <c r="J59"/>
  <c r="J60"/>
  <c r="J61"/>
  <c r="J62"/>
  <c r="J63"/>
  <c r="J65"/>
  <c r="J66"/>
  <c r="J67"/>
  <c r="J68"/>
  <c r="J69"/>
  <c r="J70"/>
  <c r="J71"/>
  <c r="J72"/>
  <c r="J73"/>
  <c r="J74"/>
  <c r="J75"/>
  <c r="J76"/>
  <c r="J77"/>
  <c r="J78"/>
  <c r="J79"/>
  <c r="J80"/>
  <c r="J81"/>
  <c r="J82"/>
  <c r="J83"/>
  <c r="J84"/>
  <c r="J85"/>
  <c r="J86"/>
  <c r="J87"/>
  <c r="J88"/>
  <c r="J89"/>
  <c r="J90"/>
  <c r="J91"/>
  <c r="J92"/>
  <c r="J93"/>
  <c r="J94"/>
  <c r="J95"/>
  <c r="J96"/>
  <c r="J97"/>
  <c r="J98"/>
  <c r="J99"/>
  <c r="J100"/>
  <c r="J101"/>
  <c r="J102"/>
  <c r="J103"/>
  <c r="J104"/>
  <c r="J105"/>
  <c r="J106"/>
  <c r="J107"/>
  <c r="J108"/>
  <c r="J109"/>
  <c r="J110"/>
  <c r="J111"/>
  <c r="J112"/>
  <c r="J113"/>
  <c r="J114"/>
  <c r="J115"/>
  <c r="J116"/>
  <c r="J117"/>
  <c r="J118"/>
  <c r="J119"/>
  <c r="J120"/>
  <c r="J121"/>
  <c r="J122"/>
  <c r="J123"/>
  <c r="J124"/>
  <c r="J125"/>
  <c r="J126"/>
  <c r="J127"/>
  <c r="J128"/>
  <c r="J129"/>
  <c r="J130"/>
  <c r="J131"/>
  <c r="J132"/>
  <c r="J133"/>
  <c r="J134"/>
  <c r="J135"/>
  <c r="J136"/>
  <c r="J137"/>
  <c r="J138"/>
  <c r="J139"/>
  <c r="J140"/>
  <c r="J142"/>
  <c r="J143"/>
  <c r="J144"/>
  <c r="J145"/>
  <c r="J146"/>
  <c r="J147"/>
  <c r="J148"/>
  <c r="J149"/>
  <c r="J150"/>
  <c r="J151"/>
  <c r="J152"/>
  <c r="J153"/>
  <c r="J154"/>
  <c r="J155"/>
  <c r="J156"/>
  <c r="J157"/>
  <c r="J158"/>
  <c r="J159"/>
  <c r="J160"/>
  <c r="J161"/>
  <c r="J162"/>
  <c r="J163"/>
  <c r="J164"/>
  <c r="J165"/>
  <c r="J166"/>
  <c r="J167"/>
  <c r="J168"/>
  <c r="J169"/>
  <c r="J170"/>
  <c r="J171"/>
  <c r="J172"/>
  <c r="J173"/>
  <c r="J174"/>
  <c r="J175"/>
  <c r="J176"/>
  <c r="J177"/>
  <c r="J178"/>
  <c r="J179"/>
  <c r="J180"/>
  <c r="J181"/>
  <c r="J182"/>
  <c r="J183"/>
  <c r="J184"/>
  <c r="J185"/>
  <c r="J186"/>
  <c r="J187"/>
  <c r="J188"/>
  <c r="J189"/>
  <c r="J190"/>
  <c r="J191"/>
  <c r="J192"/>
  <c r="J193"/>
  <c r="J194"/>
  <c r="J195"/>
  <c r="J196"/>
  <c r="J197"/>
  <c r="J198"/>
  <c r="J199"/>
  <c r="J200"/>
  <c r="J201"/>
  <c r="J202"/>
  <c r="J203"/>
  <c r="J204"/>
  <c r="J205"/>
  <c r="J206"/>
  <c r="J207"/>
  <c r="J208"/>
  <c r="J209"/>
  <c r="J210"/>
  <c r="J211"/>
  <c r="J212"/>
  <c r="J213"/>
  <c r="J214"/>
  <c r="J215"/>
  <c r="J216"/>
  <c r="J217"/>
  <c r="J218"/>
  <c r="J219"/>
  <c r="J220"/>
  <c r="J221"/>
  <c r="J222"/>
  <c r="J223"/>
  <c r="J224"/>
  <c r="J225"/>
  <c r="J226"/>
  <c r="J227"/>
  <c r="J228"/>
  <c r="J229"/>
  <c r="J230"/>
  <c r="J231"/>
  <c r="J232"/>
  <c r="J233"/>
  <c r="J234"/>
  <c r="J235"/>
  <c r="J236"/>
  <c r="J237"/>
  <c r="J238"/>
  <c r="J239"/>
  <c r="J240"/>
  <c r="J241"/>
  <c r="J242"/>
  <c r="J243"/>
  <c r="J244"/>
  <c r="J245"/>
  <c r="J246"/>
  <c r="J247"/>
  <c r="J248"/>
  <c r="J249"/>
  <c r="J250"/>
  <c r="J251"/>
  <c r="J252"/>
  <c r="J253"/>
  <c r="J254"/>
  <c r="J255"/>
  <c r="J256"/>
  <c r="J257"/>
  <c r="J258"/>
  <c r="J259"/>
  <c r="J260"/>
  <c r="J261"/>
  <c r="J262"/>
  <c r="J263"/>
  <c r="J264"/>
  <c r="J265"/>
  <c r="J266"/>
  <c r="J267"/>
  <c r="J268"/>
  <c r="J269"/>
  <c r="J270"/>
  <c r="J271"/>
  <c r="J272"/>
  <c r="J273"/>
  <c r="J274"/>
  <c r="J275"/>
  <c r="J276"/>
  <c r="J277"/>
  <c r="J278"/>
  <c r="J279"/>
  <c r="J280"/>
  <c r="J281"/>
  <c r="J282"/>
  <c r="J283"/>
  <c r="J284"/>
  <c r="J285"/>
  <c r="J286"/>
  <c r="J287"/>
  <c r="J288"/>
  <c r="J289"/>
  <c r="J290"/>
  <c r="J291"/>
  <c r="J292"/>
  <c r="J293"/>
  <c r="J294"/>
  <c r="J295"/>
  <c r="J296"/>
  <c r="J297"/>
  <c r="J298"/>
  <c r="J299"/>
  <c r="J300"/>
  <c r="J301"/>
  <c r="J302"/>
  <c r="J303"/>
  <c r="J304"/>
  <c r="J305"/>
  <c r="J306"/>
  <c r="J307"/>
  <c r="J308"/>
  <c r="J309"/>
  <c r="J310"/>
  <c r="J311"/>
  <c r="J312"/>
  <c r="J313"/>
  <c r="J314"/>
  <c r="J315"/>
  <c r="J316"/>
  <c r="J317"/>
  <c r="J318"/>
  <c r="J319"/>
  <c r="J320"/>
  <c r="J321"/>
  <c r="J322"/>
  <c r="J323"/>
  <c r="J324"/>
  <c r="J325"/>
  <c r="J326"/>
  <c r="J327"/>
  <c r="J328"/>
  <c r="J329"/>
  <c r="J330"/>
  <c r="J331"/>
  <c r="J332"/>
  <c r="J333"/>
  <c r="J334"/>
  <c r="J335"/>
  <c r="J336"/>
  <c r="J337"/>
  <c r="J338"/>
  <c r="J339"/>
  <c r="J340"/>
  <c r="J341"/>
  <c r="J342"/>
  <c r="J343"/>
  <c r="J344"/>
  <c r="J345"/>
  <c r="J346"/>
  <c r="J347"/>
  <c r="J348"/>
  <c r="J349"/>
  <c r="J350"/>
  <c r="J351"/>
  <c r="J352"/>
  <c r="J353"/>
  <c r="J354"/>
  <c r="J355"/>
  <c r="J356"/>
  <c r="J357"/>
  <c r="J358"/>
  <c r="J359"/>
  <c r="J360"/>
  <c r="J361"/>
  <c r="J362"/>
  <c r="J363"/>
  <c r="J364"/>
  <c r="J365"/>
  <c r="J366"/>
  <c r="J367"/>
  <c r="J368"/>
  <c r="J369"/>
  <c r="J370"/>
  <c r="J371"/>
  <c r="J372"/>
  <c r="J373"/>
  <c r="J374"/>
  <c r="J375"/>
  <c r="J376"/>
  <c r="J377"/>
  <c r="J378"/>
  <c r="J379"/>
  <c r="J380"/>
  <c r="J381"/>
  <c r="J382"/>
  <c r="J383"/>
  <c r="J384"/>
  <c r="J385"/>
  <c r="J386"/>
  <c r="J387"/>
  <c r="J388"/>
  <c r="J389"/>
  <c r="J390"/>
  <c r="J391"/>
  <c r="J392"/>
  <c r="J393"/>
  <c r="J394"/>
  <c r="J395"/>
  <c r="J396"/>
  <c r="J397"/>
  <c r="J398"/>
  <c r="J399"/>
  <c r="J400"/>
  <c r="J401"/>
  <c r="J402"/>
  <c r="J403"/>
  <c r="J404"/>
  <c r="J405"/>
  <c r="J406"/>
  <c r="J407"/>
  <c r="J408"/>
  <c r="J409"/>
  <c r="J410"/>
  <c r="J411"/>
  <c r="J412"/>
  <c r="J413"/>
  <c r="J414"/>
  <c r="J415"/>
  <c r="J416"/>
  <c r="J417"/>
  <c r="J418"/>
  <c r="J419"/>
  <c r="J420"/>
  <c r="J421"/>
  <c r="J422"/>
  <c r="J423"/>
  <c r="J424"/>
  <c r="J425"/>
  <c r="J426"/>
  <c r="J427"/>
  <c r="J428"/>
  <c r="J429"/>
  <c r="J430"/>
  <c r="J431"/>
  <c r="J432"/>
  <c r="J433"/>
  <c r="J434"/>
  <c r="J435"/>
  <c r="J436"/>
  <c r="J437"/>
  <c r="J438"/>
  <c r="J439"/>
  <c r="J440"/>
  <c r="J441"/>
  <c r="J442"/>
  <c r="J443"/>
  <c r="J444"/>
  <c r="J445"/>
  <c r="J446"/>
  <c r="C432"/>
  <c r="E432"/>
  <c r="H432"/>
  <c r="C389"/>
  <c r="E389"/>
  <c r="H389"/>
  <c r="C382"/>
  <c r="E382"/>
  <c r="H382"/>
  <c r="C383"/>
  <c r="E383"/>
  <c r="H383"/>
  <c r="C384"/>
  <c r="E384"/>
  <c r="H384"/>
  <c r="C385"/>
  <c r="E385"/>
  <c r="H385"/>
  <c r="C386"/>
  <c r="E386"/>
  <c r="H386"/>
  <c r="C378"/>
  <c r="E378"/>
  <c r="H378"/>
  <c r="C379"/>
  <c r="E379"/>
  <c r="H379"/>
  <c r="C380"/>
  <c r="E380"/>
  <c r="H380"/>
  <c r="C373"/>
  <c r="E373"/>
  <c r="H373"/>
  <c r="C357"/>
  <c r="E357"/>
  <c r="H357"/>
  <c r="C330"/>
  <c r="E330"/>
  <c r="H330"/>
  <c r="C331"/>
  <c r="E331"/>
  <c r="H331"/>
  <c r="C332"/>
  <c r="E332"/>
  <c r="H332"/>
  <c r="C333"/>
  <c r="E333"/>
  <c r="H333"/>
  <c r="C334"/>
  <c r="E334"/>
  <c r="H334"/>
  <c r="C335"/>
  <c r="E335"/>
  <c r="H335"/>
  <c r="C323"/>
  <c r="E323"/>
  <c r="H323"/>
  <c r="C324"/>
  <c r="E324"/>
  <c r="H324"/>
  <c r="C305"/>
  <c r="E305"/>
  <c r="H305"/>
  <c r="C306"/>
  <c r="E306"/>
  <c r="H306"/>
  <c r="C297"/>
  <c r="E297"/>
  <c r="H297"/>
  <c r="C298"/>
  <c r="E298"/>
  <c r="H298"/>
  <c r="C271"/>
  <c r="E271"/>
  <c r="H271"/>
  <c r="C249"/>
  <c r="E249"/>
  <c r="H249"/>
  <c r="C230"/>
  <c r="E230"/>
  <c r="H230"/>
  <c r="C215"/>
  <c r="E215"/>
  <c r="H215"/>
  <c r="C214"/>
  <c r="E214"/>
  <c r="H214"/>
  <c r="C188"/>
  <c r="E188"/>
  <c r="H188"/>
  <c r="C165"/>
  <c r="E165"/>
  <c r="H165"/>
  <c r="C163"/>
  <c r="E163"/>
  <c r="H163"/>
  <c r="C153" l="1"/>
  <c r="E153"/>
  <c r="H153"/>
  <c r="C149"/>
  <c r="E149"/>
  <c r="H149"/>
  <c r="C150"/>
  <c r="E150"/>
  <c r="H150"/>
  <c r="C130" l="1"/>
  <c r="E130"/>
  <c r="H130"/>
  <c r="C120"/>
  <c r="E120"/>
  <c r="H120"/>
  <c r="H5"/>
  <c r="H6"/>
  <c r="H7"/>
  <c r="H9"/>
  <c r="H10"/>
  <c r="H11"/>
  <c r="H12"/>
  <c r="H13"/>
  <c r="H14"/>
  <c r="H15"/>
  <c r="H16"/>
  <c r="H17"/>
  <c r="H18"/>
  <c r="H19"/>
  <c r="H20"/>
  <c r="H21"/>
  <c r="H22"/>
  <c r="H23"/>
  <c r="H24"/>
  <c r="H25"/>
  <c r="H26"/>
  <c r="H27"/>
  <c r="H28"/>
  <c r="H29"/>
  <c r="H30"/>
  <c r="H31"/>
  <c r="H32"/>
  <c r="H33"/>
  <c r="H34"/>
  <c r="H35"/>
  <c r="H36"/>
  <c r="H37"/>
  <c r="H38"/>
  <c r="H39"/>
  <c r="H40"/>
  <c r="H41"/>
  <c r="H42"/>
  <c r="H43"/>
  <c r="H44"/>
  <c r="H49"/>
  <c r="H50"/>
  <c r="H51"/>
  <c r="H52"/>
  <c r="H53"/>
  <c r="H54"/>
  <c r="H55"/>
  <c r="H56"/>
  <c r="H57"/>
  <c r="H58"/>
  <c r="H59"/>
  <c r="H60"/>
  <c r="H61"/>
  <c r="H62"/>
  <c r="H63"/>
  <c r="H64"/>
  <c r="H67"/>
  <c r="H68"/>
  <c r="H69"/>
  <c r="H70"/>
  <c r="H71"/>
  <c r="H72"/>
  <c r="H73"/>
  <c r="H74"/>
  <c r="H75"/>
  <c r="H76"/>
  <c r="H77"/>
  <c r="H78"/>
  <c r="H79"/>
  <c r="H80"/>
  <c r="H88"/>
  <c r="H90"/>
  <c r="H91"/>
  <c r="H92"/>
  <c r="H93"/>
  <c r="H95"/>
  <c r="H96"/>
  <c r="H97"/>
  <c r="H98"/>
  <c r="H99"/>
  <c r="H101"/>
  <c r="H102"/>
  <c r="H103"/>
  <c r="H104"/>
  <c r="H105"/>
  <c r="H106"/>
  <c r="H107"/>
  <c r="H108"/>
  <c r="H109"/>
  <c r="H110"/>
  <c r="H111"/>
  <c r="H112"/>
  <c r="H113"/>
  <c r="H114"/>
  <c r="H115"/>
  <c r="H116"/>
  <c r="H117"/>
  <c r="H118"/>
  <c r="H121"/>
  <c r="H122"/>
  <c r="H124"/>
  <c r="H125"/>
  <c r="H126"/>
  <c r="H127"/>
  <c r="H128"/>
  <c r="H131"/>
  <c r="H132"/>
  <c r="H133"/>
  <c r="H134"/>
  <c r="H135"/>
  <c r="H136"/>
  <c r="H137"/>
  <c r="H138"/>
  <c r="H139"/>
  <c r="H140"/>
  <c r="H141"/>
  <c r="H142"/>
  <c r="H143"/>
  <c r="H144"/>
  <c r="H145"/>
  <c r="H146"/>
  <c r="H147"/>
  <c r="H151"/>
  <c r="H154"/>
  <c r="H155"/>
  <c r="H156"/>
  <c r="H158"/>
  <c r="H159"/>
  <c r="H160"/>
  <c r="H161"/>
  <c r="H166"/>
  <c r="H167"/>
  <c r="H168"/>
  <c r="H169"/>
  <c r="H170"/>
  <c r="H173"/>
  <c r="H174"/>
  <c r="H176"/>
  <c r="H177"/>
  <c r="H178"/>
  <c r="H179"/>
  <c r="H181"/>
  <c r="H182"/>
  <c r="H183"/>
  <c r="H184"/>
  <c r="H185"/>
  <c r="H186"/>
  <c r="H189"/>
  <c r="H190"/>
  <c r="H191"/>
  <c r="H192"/>
  <c r="H193"/>
  <c r="H194"/>
  <c r="H195"/>
  <c r="H196"/>
  <c r="H197"/>
  <c r="H198"/>
  <c r="H199"/>
  <c r="H200"/>
  <c r="H201"/>
  <c r="H202"/>
  <c r="H203"/>
  <c r="H204"/>
  <c r="H205"/>
  <c r="H206"/>
  <c r="H207"/>
  <c r="H208"/>
  <c r="H209"/>
  <c r="H210"/>
  <c r="H211"/>
  <c r="H212"/>
  <c r="H216"/>
  <c r="H217"/>
  <c r="H218"/>
  <c r="H219"/>
  <c r="H220"/>
  <c r="H221"/>
  <c r="H222"/>
  <c r="H223"/>
  <c r="H224"/>
  <c r="H225"/>
  <c r="H226"/>
  <c r="H227"/>
  <c r="H228"/>
  <c r="H232"/>
  <c r="H233"/>
  <c r="H234"/>
  <c r="H235"/>
  <c r="H236"/>
  <c r="H238"/>
  <c r="H239"/>
  <c r="H240"/>
  <c r="H242"/>
  <c r="H244"/>
  <c r="H245"/>
  <c r="H246"/>
  <c r="H250"/>
  <c r="H251"/>
  <c r="H252"/>
  <c r="H253"/>
  <c r="H254"/>
  <c r="H256"/>
  <c r="H259"/>
  <c r="H260"/>
  <c r="H261"/>
  <c r="H262"/>
  <c r="H263"/>
  <c r="H264"/>
  <c r="H265"/>
  <c r="H266"/>
  <c r="H267"/>
  <c r="H268"/>
  <c r="H269"/>
  <c r="H272"/>
  <c r="H273"/>
  <c r="H274"/>
  <c r="H276"/>
  <c r="H278"/>
  <c r="H279"/>
  <c r="H280"/>
  <c r="H281"/>
  <c r="H282"/>
  <c r="H284"/>
  <c r="H285"/>
  <c r="H286"/>
  <c r="H287"/>
  <c r="H288"/>
  <c r="H289"/>
  <c r="H290"/>
  <c r="H291"/>
  <c r="H293"/>
  <c r="H294"/>
  <c r="H295"/>
  <c r="H296"/>
  <c r="H300"/>
  <c r="H301"/>
  <c r="H302"/>
  <c r="H303"/>
  <c r="H307"/>
  <c r="H308"/>
  <c r="H309"/>
  <c r="H310"/>
  <c r="H311"/>
  <c r="H312"/>
  <c r="H313"/>
  <c r="H314"/>
  <c r="H315"/>
  <c r="H316"/>
  <c r="H317"/>
  <c r="H318"/>
  <c r="H320"/>
  <c r="H321"/>
  <c r="H326"/>
  <c r="H327"/>
  <c r="H328"/>
  <c r="H336"/>
  <c r="H337"/>
  <c r="H338"/>
  <c r="H339"/>
  <c r="H340"/>
  <c r="H341"/>
  <c r="H342"/>
  <c r="H343"/>
  <c r="H344"/>
  <c r="H345"/>
  <c r="H346"/>
  <c r="H347"/>
  <c r="H348"/>
  <c r="H349"/>
  <c r="H350"/>
  <c r="H351"/>
  <c r="H352"/>
  <c r="H353"/>
  <c r="H354"/>
  <c r="H355"/>
  <c r="H358"/>
  <c r="H359"/>
  <c r="H360"/>
  <c r="H361"/>
  <c r="H362"/>
  <c r="H363"/>
  <c r="H365"/>
  <c r="H366"/>
  <c r="H367"/>
  <c r="H368"/>
  <c r="H369"/>
  <c r="H370"/>
  <c r="H371"/>
  <c r="H376"/>
  <c r="H390"/>
  <c r="H391"/>
  <c r="H392"/>
  <c r="H393"/>
  <c r="H394"/>
  <c r="H396"/>
  <c r="H397"/>
  <c r="H398"/>
  <c r="H399"/>
  <c r="H400"/>
  <c r="H401"/>
  <c r="H402"/>
  <c r="H403"/>
  <c r="H404"/>
  <c r="H405"/>
  <c r="H406"/>
  <c r="H407"/>
  <c r="H408"/>
  <c r="H409"/>
  <c r="H410"/>
  <c r="H411"/>
  <c r="H412"/>
  <c r="H413"/>
  <c r="H414"/>
  <c r="H415"/>
  <c r="H416"/>
  <c r="H417"/>
  <c r="H418"/>
  <c r="H419"/>
  <c r="H420"/>
  <c r="H421"/>
  <c r="H422"/>
  <c r="H423"/>
  <c r="H424"/>
  <c r="H425"/>
  <c r="H426"/>
  <c r="H427"/>
  <c r="H428"/>
  <c r="H429"/>
  <c r="H430"/>
  <c r="H431"/>
  <c r="H434"/>
  <c r="H435"/>
  <c r="H436"/>
  <c r="H437"/>
  <c r="H438"/>
  <c r="H439"/>
  <c r="H440"/>
  <c r="H441"/>
  <c r="H442"/>
  <c r="H443"/>
  <c r="H444"/>
  <c r="H445"/>
  <c r="H446"/>
  <c r="H8"/>
  <c r="H45"/>
  <c r="H46"/>
  <c r="H47"/>
  <c r="H48"/>
  <c r="H65"/>
  <c r="H66"/>
  <c r="H81"/>
  <c r="H82"/>
  <c r="H83"/>
  <c r="H84"/>
  <c r="H85"/>
  <c r="H86"/>
  <c r="H87"/>
  <c r="H89"/>
  <c r="H94"/>
  <c r="H100"/>
  <c r="H119"/>
  <c r="H123"/>
  <c r="H129"/>
  <c r="H148"/>
  <c r="H152"/>
  <c r="H157"/>
  <c r="H162"/>
  <c r="H164"/>
  <c r="H171"/>
  <c r="H172"/>
  <c r="H175"/>
  <c r="H180"/>
  <c r="H187"/>
  <c r="H213"/>
  <c r="H229"/>
  <c r="H231"/>
  <c r="H237"/>
  <c r="H241"/>
  <c r="H243"/>
  <c r="H247"/>
  <c r="H248"/>
  <c r="H255"/>
  <c r="H257"/>
  <c r="H258"/>
  <c r="H270"/>
  <c r="H275"/>
  <c r="H277"/>
  <c r="H283"/>
  <c r="H292"/>
  <c r="H299"/>
  <c r="H304"/>
  <c r="H319"/>
  <c r="H322"/>
  <c r="H325"/>
  <c r="H329"/>
  <c r="H356"/>
  <c r="H364"/>
  <c r="H372"/>
  <c r="H374"/>
  <c r="H375"/>
  <c r="H377"/>
  <c r="H381"/>
  <c r="H387"/>
  <c r="H388"/>
  <c r="H395"/>
  <c r="H433"/>
  <c r="H4"/>
  <c r="E4"/>
  <c r="C84"/>
  <c r="E84"/>
  <c r="C85"/>
  <c r="E85"/>
  <c r="C86"/>
  <c r="E86"/>
  <c r="C66"/>
  <c r="E66"/>
  <c r="C46"/>
  <c r="E46"/>
  <c r="C47"/>
  <c r="E47"/>
  <c r="C48"/>
  <c r="E48"/>
  <c r="E8"/>
  <c r="E45"/>
  <c r="E65"/>
  <c r="E81"/>
  <c r="E82"/>
  <c r="E83"/>
  <c r="E87"/>
  <c r="E89"/>
  <c r="E94"/>
  <c r="E100"/>
  <c r="E119"/>
  <c r="E123"/>
  <c r="E129"/>
  <c r="E148"/>
  <c r="E152"/>
  <c r="E157"/>
  <c r="E162"/>
  <c r="E164"/>
  <c r="E171"/>
  <c r="E172"/>
  <c r="E175"/>
  <c r="E180"/>
  <c r="E187"/>
  <c r="E213"/>
  <c r="E229"/>
  <c r="E231"/>
  <c r="E237"/>
  <c r="E241"/>
  <c r="E243"/>
  <c r="E247"/>
  <c r="E248"/>
  <c r="E255"/>
  <c r="E257"/>
  <c r="E258"/>
  <c r="E270"/>
  <c r="E275"/>
  <c r="E277"/>
  <c r="E283"/>
  <c r="E292"/>
  <c r="E299"/>
  <c r="E304"/>
  <c r="E319"/>
  <c r="E322"/>
  <c r="E325"/>
  <c r="E329"/>
  <c r="E356"/>
  <c r="E364"/>
  <c r="E372"/>
  <c r="E374"/>
  <c r="E375"/>
  <c r="E377"/>
  <c r="E381"/>
  <c r="E387"/>
  <c r="E388"/>
  <c r="E395"/>
  <c r="E433"/>
  <c r="C8"/>
  <c r="C45"/>
  <c r="C65"/>
  <c r="C81"/>
  <c r="C82"/>
  <c r="C83"/>
  <c r="C87"/>
  <c r="C89"/>
  <c r="C94"/>
  <c r="C100"/>
  <c r="C119"/>
  <c r="C123"/>
  <c r="C129"/>
  <c r="C148"/>
  <c r="C152"/>
  <c r="C157"/>
  <c r="C162"/>
  <c r="C164"/>
  <c r="C171"/>
  <c r="C172"/>
  <c r="C175"/>
  <c r="C180"/>
  <c r="C187"/>
  <c r="C213"/>
  <c r="C229"/>
  <c r="C231"/>
  <c r="C237"/>
  <c r="C241"/>
  <c r="C243"/>
  <c r="C247"/>
  <c r="C248"/>
  <c r="C255"/>
  <c r="C257"/>
  <c r="C258"/>
  <c r="C270"/>
  <c r="C275"/>
  <c r="C277"/>
  <c r="C283"/>
  <c r="C292"/>
  <c r="C299"/>
  <c r="C304"/>
  <c r="C319"/>
  <c r="C322"/>
  <c r="C325"/>
  <c r="C329"/>
  <c r="C356"/>
  <c r="C364"/>
  <c r="C372"/>
  <c r="C374"/>
  <c r="C375"/>
  <c r="C377"/>
  <c r="C381"/>
  <c r="C387"/>
  <c r="C388"/>
  <c r="C395"/>
  <c r="C433"/>
  <c r="E365"/>
  <c r="C365"/>
  <c r="E416"/>
  <c r="E414"/>
  <c r="E287"/>
  <c r="C287"/>
  <c r="C414"/>
  <c r="C416"/>
  <c r="E281"/>
  <c r="E266"/>
  <c r="C281"/>
  <c r="C266"/>
  <c r="E111"/>
  <c r="C111"/>
  <c r="E64"/>
  <c r="C64"/>
  <c r="E110"/>
  <c r="E415"/>
  <c r="C415"/>
  <c r="C110"/>
  <c r="E227"/>
  <c r="E265"/>
  <c r="C227"/>
  <c r="C265"/>
  <c r="E351"/>
  <c r="E121"/>
  <c r="C121"/>
  <c r="C351"/>
  <c r="E288"/>
  <c r="C288"/>
  <c r="E41"/>
  <c r="C41"/>
  <c r="E190"/>
  <c r="E200"/>
  <c r="E167"/>
  <c r="E13"/>
  <c r="E226"/>
  <c r="E264"/>
  <c r="E14"/>
  <c r="E224"/>
  <c r="E19"/>
  <c r="C19"/>
  <c r="C190"/>
  <c r="C200"/>
  <c r="C167"/>
  <c r="C13"/>
  <c r="C226"/>
  <c r="C264"/>
  <c r="C14"/>
  <c r="C224"/>
  <c r="E40"/>
  <c r="E99"/>
  <c r="C99"/>
  <c r="C40"/>
  <c r="E349"/>
  <c r="E39"/>
  <c r="C39"/>
  <c r="C349"/>
  <c r="E122"/>
  <c r="C122"/>
  <c r="E136"/>
  <c r="E146"/>
  <c r="E437"/>
  <c r="C136"/>
  <c r="C146"/>
  <c r="C437"/>
  <c r="C12"/>
  <c r="E12"/>
  <c r="E189"/>
  <c r="E38"/>
  <c r="E199"/>
  <c r="E166"/>
  <c r="E360"/>
  <c r="E18"/>
  <c r="C360"/>
  <c r="C199"/>
  <c r="C166"/>
  <c r="C38"/>
  <c r="C189"/>
  <c r="C18"/>
  <c r="E436"/>
  <c r="C436"/>
  <c r="E438"/>
  <c r="C438"/>
  <c r="E393"/>
  <c r="C393"/>
  <c r="E168"/>
  <c r="E42"/>
  <c r="C42"/>
  <c r="C168"/>
  <c r="E112"/>
  <c r="C112"/>
  <c r="E201"/>
  <c r="C201"/>
  <c r="E350"/>
  <c r="C350"/>
  <c r="E242"/>
  <c r="C242"/>
  <c r="E116"/>
  <c r="C116"/>
  <c r="C169"/>
  <c r="E169"/>
  <c r="E403"/>
  <c r="E404"/>
  <c r="E370"/>
  <c r="E419"/>
  <c r="E223"/>
  <c r="E53"/>
  <c r="E328"/>
  <c r="E151"/>
  <c r="E409"/>
  <c r="E267"/>
  <c r="E70"/>
  <c r="E52"/>
  <c r="E132"/>
  <c r="E115"/>
  <c r="E440"/>
  <c r="E236"/>
  <c r="E124"/>
  <c r="E125"/>
  <c r="E233"/>
  <c r="E234"/>
  <c r="E291"/>
  <c r="E439"/>
  <c r="E222"/>
  <c r="E310"/>
  <c r="E434"/>
  <c r="E246"/>
  <c r="E245"/>
  <c r="E244"/>
  <c r="E361"/>
  <c r="E67"/>
  <c r="E161"/>
  <c r="E303"/>
  <c r="E353"/>
  <c r="E134"/>
  <c r="E44"/>
  <c r="E43"/>
  <c r="E220"/>
  <c r="E178"/>
  <c r="E274"/>
  <c r="E282"/>
  <c r="E156"/>
  <c r="E79"/>
  <c r="E293"/>
  <c r="E407"/>
  <c r="E80"/>
  <c r="E316"/>
  <c r="E276"/>
  <c r="E235"/>
  <c r="E101"/>
  <c r="E279"/>
  <c r="E97"/>
  <c r="C126"/>
  <c r="C11"/>
  <c r="E126"/>
  <c r="E269"/>
  <c r="E352"/>
  <c r="E354"/>
  <c r="E11"/>
  <c r="C403"/>
  <c r="C404"/>
  <c r="C370"/>
  <c r="C419"/>
  <c r="C223"/>
  <c r="C53"/>
  <c r="C328"/>
  <c r="C151"/>
  <c r="C409"/>
  <c r="C267"/>
  <c r="C70"/>
  <c r="C52"/>
  <c r="C132"/>
  <c r="C115"/>
  <c r="C440"/>
  <c r="C236"/>
  <c r="C124"/>
  <c r="C125"/>
  <c r="C233"/>
  <c r="C234"/>
  <c r="C291"/>
  <c r="C439"/>
  <c r="C222"/>
  <c r="C310"/>
  <c r="C434"/>
  <c r="C246"/>
  <c r="C245"/>
  <c r="C244"/>
  <c r="C361"/>
  <c r="C67"/>
  <c r="C161"/>
  <c r="C303"/>
  <c r="C353"/>
  <c r="C134"/>
  <c r="C44"/>
  <c r="C43"/>
  <c r="C220"/>
  <c r="C178"/>
  <c r="C274"/>
  <c r="C282"/>
  <c r="C156"/>
  <c r="C79"/>
  <c r="C293"/>
  <c r="C407"/>
  <c r="C80"/>
  <c r="C316"/>
  <c r="C276"/>
  <c r="C235"/>
  <c r="C101"/>
  <c r="C279"/>
  <c r="C97"/>
  <c r="C49"/>
  <c r="C51"/>
  <c r="C50"/>
  <c r="C280"/>
  <c r="C240"/>
  <c r="C216"/>
  <c r="C173"/>
  <c r="C435"/>
  <c r="C228"/>
  <c r="C307"/>
  <c r="C102"/>
  <c r="C160"/>
  <c r="C54"/>
  <c r="C71"/>
  <c r="C396"/>
  <c r="C397"/>
  <c r="C398"/>
  <c r="C105"/>
  <c r="C182"/>
  <c r="C359"/>
  <c r="C406"/>
  <c r="E406"/>
  <c r="E359"/>
  <c r="E182"/>
  <c r="E105"/>
  <c r="E398"/>
  <c r="E397"/>
  <c r="E396"/>
  <c r="E71"/>
  <c r="E54"/>
  <c r="E160"/>
  <c r="E102"/>
  <c r="E307"/>
  <c r="E228"/>
  <c r="E435"/>
  <c r="E173"/>
  <c r="E216"/>
  <c r="E240"/>
  <c r="E280"/>
  <c r="E50"/>
  <c r="E51"/>
  <c r="E49"/>
  <c r="E104"/>
  <c r="C104"/>
  <c r="E400"/>
  <c r="E421"/>
  <c r="E73"/>
  <c r="E77"/>
  <c r="E78"/>
  <c r="E212"/>
  <c r="E272"/>
  <c r="E114"/>
  <c r="E428"/>
  <c r="C428"/>
  <c r="C400"/>
  <c r="C421"/>
  <c r="C73"/>
  <c r="C77"/>
  <c r="C78"/>
  <c r="C212"/>
  <c r="C272"/>
  <c r="C114"/>
  <c r="C354"/>
  <c r="C352"/>
  <c r="C269"/>
  <c r="C103"/>
  <c r="E103"/>
  <c r="C142"/>
  <c r="E142"/>
  <c r="C311"/>
  <c r="E311"/>
  <c r="C179"/>
  <c r="E179"/>
  <c r="C252"/>
  <c r="E252"/>
  <c r="C251"/>
  <c r="E251"/>
  <c r="C32"/>
  <c r="E32"/>
  <c r="C25"/>
  <c r="E25"/>
  <c r="C203"/>
  <c r="E203"/>
  <c r="C33"/>
  <c r="E33"/>
  <c r="C27"/>
  <c r="E27"/>
  <c r="C204"/>
  <c r="E204"/>
  <c r="C106"/>
  <c r="E106"/>
  <c r="C193"/>
  <c r="E193"/>
  <c r="C259"/>
  <c r="E259"/>
  <c r="C300"/>
  <c r="E300"/>
  <c r="C337"/>
  <c r="E337"/>
  <c r="C441"/>
  <c r="E441"/>
  <c r="C205"/>
  <c r="E205"/>
  <c r="C107"/>
  <c r="E107"/>
  <c r="C194"/>
  <c r="E194"/>
  <c r="C260"/>
  <c r="E260"/>
  <c r="C338"/>
  <c r="E338"/>
  <c r="C113"/>
  <c r="E113"/>
  <c r="C181"/>
  <c r="E181"/>
  <c r="C315"/>
  <c r="E315"/>
  <c r="C425"/>
  <c r="E425"/>
  <c r="C34"/>
  <c r="E34"/>
  <c r="C16"/>
  <c r="E16"/>
  <c r="C60"/>
  <c r="E60"/>
  <c r="C208"/>
  <c r="E208"/>
  <c r="C295"/>
  <c r="E295"/>
  <c r="C339"/>
  <c r="E339"/>
  <c r="C30"/>
  <c r="E30"/>
  <c r="C109"/>
  <c r="E109"/>
  <c r="C345"/>
  <c r="E345"/>
  <c r="C443"/>
  <c r="E443"/>
  <c r="C6"/>
  <c r="E6"/>
  <c r="C61"/>
  <c r="E61"/>
  <c r="C207"/>
  <c r="E207"/>
  <c r="C96"/>
  <c r="E96"/>
  <c r="C197"/>
  <c r="E197"/>
  <c r="C262"/>
  <c r="E262"/>
  <c r="C273"/>
  <c r="E273"/>
  <c r="C286"/>
  <c r="E286"/>
  <c r="C302"/>
  <c r="E302"/>
  <c r="C346"/>
  <c r="E346"/>
  <c r="C431"/>
  <c r="E431"/>
  <c r="C314"/>
  <c r="E314"/>
  <c r="C145"/>
  <c r="E145"/>
  <c r="C141"/>
  <c r="E141"/>
  <c r="C75"/>
  <c r="E75"/>
  <c r="C402"/>
  <c r="E402"/>
  <c r="C423"/>
  <c r="E423"/>
  <c r="C427"/>
  <c r="E427"/>
  <c r="C418"/>
  <c r="E418"/>
  <c r="C318"/>
  <c r="E318"/>
  <c r="C309"/>
  <c r="E309"/>
  <c r="C138"/>
  <c r="E138"/>
  <c r="C155"/>
  <c r="E155"/>
  <c r="C321"/>
  <c r="E321"/>
  <c r="C88"/>
  <c r="E88"/>
  <c r="C446"/>
  <c r="E446"/>
  <c r="C391"/>
  <c r="E391"/>
  <c r="C392"/>
  <c r="E392"/>
  <c r="C371"/>
  <c r="E371"/>
  <c r="C256"/>
  <c r="E256"/>
  <c r="C58"/>
  <c r="E58"/>
  <c r="C159"/>
  <c r="E159"/>
  <c r="C355"/>
  <c r="E355"/>
  <c r="C4"/>
  <c r="C20"/>
  <c r="E20"/>
  <c r="C15"/>
  <c r="E15"/>
  <c r="C92"/>
  <c r="E92"/>
  <c r="C290"/>
  <c r="E290"/>
  <c r="C133"/>
  <c r="E133"/>
  <c r="C183"/>
  <c r="E183"/>
  <c r="C429"/>
  <c r="E429"/>
  <c r="C21"/>
  <c r="E21"/>
  <c r="C23"/>
  <c r="E23"/>
  <c r="C17"/>
  <c r="E17"/>
  <c r="C93"/>
  <c r="E93"/>
  <c r="C118"/>
  <c r="E118"/>
  <c r="C184"/>
  <c r="E184"/>
  <c r="C289"/>
  <c r="E289"/>
  <c r="C347"/>
  <c r="E347"/>
  <c r="C348"/>
  <c r="E348"/>
  <c r="C10"/>
  <c r="E10"/>
  <c r="C98"/>
  <c r="E98"/>
  <c r="C210"/>
  <c r="E210"/>
  <c r="C413"/>
  <c r="E413"/>
  <c r="C198"/>
  <c r="E198"/>
  <c r="C369"/>
  <c r="E369"/>
  <c r="C35"/>
  <c r="E35"/>
  <c r="C28"/>
  <c r="E28"/>
  <c r="C206"/>
  <c r="E206"/>
  <c r="C209"/>
  <c r="E209"/>
  <c r="C238"/>
  <c r="E238"/>
  <c r="C232"/>
  <c r="E232"/>
  <c r="C340"/>
  <c r="E340"/>
  <c r="C442"/>
  <c r="E442"/>
  <c r="C36"/>
  <c r="E36"/>
  <c r="C29"/>
  <c r="E29"/>
  <c r="C239"/>
  <c r="E239"/>
  <c r="C301"/>
  <c r="E301"/>
  <c r="C342"/>
  <c r="E342"/>
  <c r="C444"/>
  <c r="E444"/>
  <c r="C366"/>
  <c r="E366"/>
  <c r="C143"/>
  <c r="E143"/>
  <c r="C91"/>
  <c r="E91"/>
  <c r="C294"/>
  <c r="E294"/>
  <c r="C312"/>
  <c r="E312"/>
  <c r="C376"/>
  <c r="E376"/>
  <c r="C72"/>
  <c r="E72"/>
  <c r="C76"/>
  <c r="E76"/>
  <c r="C399"/>
  <c r="E399"/>
  <c r="C420"/>
  <c r="E420"/>
  <c r="C424"/>
  <c r="E424"/>
  <c r="C154"/>
  <c r="E154"/>
  <c r="C308"/>
  <c r="E308"/>
  <c r="C55"/>
  <c r="E55"/>
  <c r="C56"/>
  <c r="E56"/>
  <c r="C117"/>
  <c r="E117"/>
  <c r="C278"/>
  <c r="E278"/>
  <c r="C218"/>
  <c r="E218"/>
  <c r="C221"/>
  <c r="E221"/>
  <c r="C147"/>
  <c r="E147"/>
  <c r="C177"/>
  <c r="E177"/>
  <c r="C211"/>
  <c r="E211"/>
  <c r="C140"/>
  <c r="E140"/>
  <c r="C127"/>
  <c r="E127"/>
  <c r="C250"/>
  <c r="E250"/>
  <c r="C135"/>
  <c r="E135"/>
  <c r="C137"/>
  <c r="E137"/>
  <c r="C139"/>
  <c r="E139"/>
  <c r="C219"/>
  <c r="E219"/>
  <c r="C362"/>
  <c r="E362"/>
  <c r="C363"/>
  <c r="E363"/>
  <c r="C367"/>
  <c r="E367"/>
  <c r="C368"/>
  <c r="E368"/>
  <c r="C176"/>
  <c r="E176"/>
  <c r="C253"/>
  <c r="E253"/>
  <c r="C254"/>
  <c r="E254"/>
  <c r="C174"/>
  <c r="E174"/>
  <c r="C158"/>
  <c r="E158"/>
  <c r="C57"/>
  <c r="E57"/>
  <c r="C59"/>
  <c r="E59"/>
  <c r="C358"/>
  <c r="E358"/>
  <c r="C410"/>
  <c r="E410"/>
  <c r="C411"/>
  <c r="E411"/>
  <c r="C320"/>
  <c r="E320"/>
  <c r="C445"/>
  <c r="E445"/>
  <c r="C390"/>
  <c r="E390"/>
  <c r="C170"/>
  <c r="E170"/>
  <c r="C268"/>
  <c r="E268"/>
  <c r="C74"/>
  <c r="E74"/>
  <c r="C401"/>
  <c r="E401"/>
  <c r="C422"/>
  <c r="E422"/>
  <c r="C426"/>
  <c r="E426"/>
  <c r="C317"/>
  <c r="E317"/>
  <c r="C417"/>
  <c r="E417"/>
  <c r="C128"/>
  <c r="E128"/>
  <c r="C131"/>
  <c r="E131"/>
  <c r="C326"/>
  <c r="E326"/>
  <c r="C144"/>
  <c r="E144"/>
  <c r="C313"/>
  <c r="E313"/>
  <c r="C22"/>
  <c r="E22"/>
  <c r="C296"/>
  <c r="E296"/>
  <c r="C344"/>
  <c r="E344"/>
  <c r="C408"/>
  <c r="E408"/>
  <c r="C430"/>
  <c r="E430"/>
  <c r="C31"/>
  <c r="E31"/>
  <c r="C192"/>
  <c r="E192"/>
  <c r="C202"/>
  <c r="E202"/>
  <c r="C185"/>
  <c r="E185"/>
  <c r="C336"/>
  <c r="E336"/>
  <c r="C225"/>
  <c r="E225"/>
  <c r="C108"/>
  <c r="E108"/>
  <c r="C95"/>
  <c r="E95"/>
  <c r="C195"/>
  <c r="E195"/>
  <c r="C341"/>
  <c r="E341"/>
  <c r="C24"/>
  <c r="E24"/>
  <c r="C26"/>
  <c r="E26"/>
  <c r="C68"/>
  <c r="E68"/>
  <c r="C62"/>
  <c r="E62"/>
  <c r="C9"/>
  <c r="E9"/>
  <c r="C217"/>
  <c r="E217"/>
  <c r="C412"/>
  <c r="E412"/>
  <c r="C191"/>
  <c r="E191"/>
  <c r="C284"/>
  <c r="E284"/>
  <c r="C5"/>
  <c r="E5"/>
  <c r="C7"/>
  <c r="E7"/>
  <c r="C37"/>
  <c r="E37"/>
  <c r="C63"/>
  <c r="E63"/>
  <c r="C69"/>
  <c r="E69"/>
  <c r="C196"/>
  <c r="E196"/>
  <c r="C186"/>
  <c r="E186"/>
  <c r="C263"/>
  <c r="E263"/>
  <c r="C261"/>
  <c r="E261"/>
  <c r="C285"/>
  <c r="E285"/>
  <c r="C327"/>
  <c r="E327"/>
  <c r="C343"/>
  <c r="E343"/>
  <c r="C405"/>
  <c r="E405"/>
  <c r="C394"/>
  <c r="E394"/>
  <c r="E90"/>
  <c r="C90"/>
</calcChain>
</file>

<file path=xl/comments1.xml><?xml version="1.0" encoding="utf-8"?>
<comments xmlns="http://schemas.openxmlformats.org/spreadsheetml/2006/main">
  <authors>
    <author>GR5</author>
  </authors>
  <commentList>
    <comment ref="P3" authorId="0">
      <text>
        <r>
          <rPr>
            <b/>
            <sz val="9"/>
            <color indexed="81"/>
            <rFont val="Segoe UI"/>
            <family val="2"/>
          </rPr>
          <t>GR5:</t>
        </r>
        <r>
          <rPr>
            <sz val="9"/>
            <color indexed="81"/>
            <rFont val="Segoe UI"/>
            <family val="2"/>
          </rPr>
          <t xml:space="preserve">
Coordenadas em decimal</t>
        </r>
      </text>
    </comment>
  </commentList>
</comments>
</file>

<file path=xl/sharedStrings.xml><?xml version="1.0" encoding="utf-8"?>
<sst xmlns="http://schemas.openxmlformats.org/spreadsheetml/2006/main" count="9796" uniqueCount="2548">
  <si>
    <t>Descrição geral:</t>
  </si>
  <si>
    <t>Principais informações sobre gestão e espécies nas UCs:</t>
  </si>
  <si>
    <t>PANs no Sul</t>
  </si>
  <si>
    <t>Espécies nas UCs</t>
  </si>
  <si>
    <t>Espécies em PANs</t>
  </si>
  <si>
    <t>DESCRIÇÃO E INDICADORES</t>
  </si>
  <si>
    <t>RESPONSÁVEL (obs.)</t>
  </si>
  <si>
    <t>FONTE</t>
  </si>
  <si>
    <t>Informações obtidas do site oficial das UCs federais (gov.br) e do preenchimento SAMGe ciclo 2023 (Sistem de Análise e Monitoramento de Gestão, Coordenação de Monitoramento e Avaliação de Gestão de UC -COMAG/ICMBio). Foram utilizadas as informações referentes à fauna e biodiversidade das abas 2 - Recursos e Valores (RV) e 6 - RV x Ações x  Usos, colunas: nome da UC, Tipo de RV, RV, Origem do fator, Fator, Ações e Descrição do uso.</t>
  </si>
  <si>
    <t xml:space="preserve">COMAG – Coordenação de Monitoramento e Avaliação de Gestão de UC
DIMAN – Diretoria de Criação e Manejo de Unidades de Conservação </t>
  </si>
  <si>
    <t>Planilha SAMGe ciclo 2023, dados de 02/08/2024, disponível em http://samge.icmbio.gov.br/
Página de cada UC no Gov.br até 31/01/2025.</t>
  </si>
  <si>
    <t>1. Existência de usos que estejam afetando a biodiversidade ou comprometendo a subsistência de comunidades</t>
  </si>
  <si>
    <t>Quantidade de usos que sejam Desafios Territoriais de Gestão (DTG) no SAMGE que o Plano de Manejo possa contribuir para sua resolução.</t>
  </si>
  <si>
    <t>DMAG/CGPLAN</t>
  </si>
  <si>
    <t>9. Inclusão em áreas de abrangência do Plano de Redução de Impactos - PRIM</t>
  </si>
  <si>
    <t>UCs inseridas em áreas de exposição aos impactos de ao menos um PRIM.</t>
  </si>
  <si>
    <t>COESP/CGCON</t>
  </si>
  <si>
    <t>Inclusão em áreas de abrangência de Planos de Ação Nacional (PAN) para conservação de espécies</t>
  </si>
  <si>
    <t>COPAN/CGCON</t>
  </si>
  <si>
    <t>Espécies da fauna ameaçada com registro em UCs federais do Sul - COFAU</t>
  </si>
  <si>
    <t>Quantidade e Lista de espécies da fauna ameaçadas de extinção (CR, EN, VU), categoria validada pela COFAU. Recorte do número de espécies ameaçadas por UC.
Dados extraídos do SALVE com as ocorrências de espécies ameaçadas da fauna nas UCs federais, filtrando a região Sul. A categoria vigente é a oficial, que consta na Lista de Espécies Ameaçadas de Extinção já formalizada por meio de Portaria do MMA. Entretanto, recomendamos que seja utilizada a categoria validada, pois, ainda que não seja a oficial, é o resultado da última avaliação realizada, em geral, em vias de formalização.</t>
  </si>
  <si>
    <t>COFAU e COESP/CGCON</t>
  </si>
  <si>
    <t>Espécies da fauna ameaçada com registro em UCs federais do Sul</t>
  </si>
  <si>
    <t>Quantidade e Lista de espécies da fauna ameaçada (CR, EN, VU) ocorrentes nas UCs federais do Sul, a partir de busca no SALVE interno em nov/2024. Tais informações e checagem realizada em dez/2024 por Larissa Santos - GR5, resultaram em uma tabela com as espécies registradas pela gestão das UCs e informações divergentes contidas ou faltantes no SALVE - "Espécies ameaçdas - verificar".</t>
  </si>
  <si>
    <t>COPAN/CGCON
COFAU e COESP/CGCON</t>
  </si>
  <si>
    <t>GR-5 (apoio técnico, Larissa Santos)</t>
  </si>
  <si>
    <t>UF</t>
  </si>
  <si>
    <t>Status</t>
  </si>
  <si>
    <t>Processo SEI</t>
  </si>
  <si>
    <t>Possui polígono disponível (ICMBio, INDE)</t>
  </si>
  <si>
    <t>UCs em área de abrangência/
*área estratégica</t>
  </si>
  <si>
    <t>PR</t>
  </si>
  <si>
    <t>CBC_02.01</t>
  </si>
  <si>
    <t>Insetos Polinizadores</t>
  </si>
  <si>
    <t>Em execução</t>
  </si>
  <si>
    <t>02176.000061/2019-17</t>
  </si>
  <si>
    <t>sim</t>
  </si>
  <si>
    <t>??</t>
  </si>
  <si>
    <t>https://www.gov.br/icmbio/pt-br/assuntos/biodiversidade/pan/pan-insetos-polinizadores</t>
  </si>
  <si>
    <t>RS</t>
  </si>
  <si>
    <t>SC</t>
  </si>
  <si>
    <t>CECAV_03.01</t>
  </si>
  <si>
    <t>Cavernas do Brasil</t>
  </si>
  <si>
    <t>02667.000076/2019-45</t>
  </si>
  <si>
    <t>https://www.gov.br/icmbio/pt-br/assuntos/biodiversidade/pan/pan-cavernas-do-brasil</t>
  </si>
  <si>
    <t>Aves da Mata Atlântica - 1º ciclo</t>
  </si>
  <si>
    <t>Finalizado</t>
  </si>
  <si>
    <t>https://www.gov.br/icmbio/pt-br/assuntos/biodiversidade/pan/pan-aves-da-mata-atlantica</t>
  </si>
  <si>
    <t>CEMAVE_20.01</t>
  </si>
  <si>
    <t>02061.000001/2014-79</t>
  </si>
  <si>
    <t>CEMAVE_21.02</t>
  </si>
  <si>
    <t>Papagaios - 2º ciclo</t>
  </si>
  <si>
    <t>02061.000013/2017-46</t>
  </si>
  <si>
    <t>não</t>
  </si>
  <si>
    <t>https://www.gov.br/icmbio/pt-br/assuntos/biodiversidade/pan/pan-papagaios</t>
  </si>
  <si>
    <t>CEMAVE_22.02</t>
  </si>
  <si>
    <t>Aves dos Campos Sulinos - 2º ciclo</t>
  </si>
  <si>
    <t>02061.000060/2017-90</t>
  </si>
  <si>
    <t>https://www.gov.br/icmbio/pt-br/assuntos/biodiversidade/pan/pan-aves-dos-campos-sulinos</t>
  </si>
  <si>
    <t>CEMAVE_24.01</t>
  </si>
  <si>
    <t>02061.000847/2017-51</t>
  </si>
  <si>
    <t>https://www.gov.br/icmbio/pt-br/assuntos/biodiversidade/pan/pan-aves-marinhas</t>
  </si>
  <si>
    <t>CEMAVE_26.03</t>
  </si>
  <si>
    <t>Albatrozes e Petréis - 3º ciclo</t>
  </si>
  <si>
    <t>02061.000878/2017-11</t>
  </si>
  <si>
    <t>https://www.gov.br/icmbio/pt-br/assuntos/biodiversidade/pan/pan-albatrozes-e-petreis</t>
  </si>
  <si>
    <t>CEMAVE_28.02</t>
  </si>
  <si>
    <t>Aves Limícolas Migratórias - 2º ciclo</t>
  </si>
  <si>
    <t>02061.000030/2019-45</t>
  </si>
  <si>
    <t>https://www.gov.br/icmbio/pt-br/assuntos/biodiversidade/pan/pan-aves-limicolas-migratorias</t>
  </si>
  <si>
    <t>Aves da Mata Atlântica - 2º ciclo</t>
  </si>
  <si>
    <t>CEMAVE_31.02</t>
  </si>
  <si>
    <t>02061.000248/2022-03</t>
  </si>
  <si>
    <t>CENAP_09.01</t>
  </si>
  <si>
    <t>02068.000015/2018-56</t>
  </si>
  <si>
    <t>https://www.gov.br/icmbio/pt-br/assuntos/biodiversidade/pan/pan-grandes-felinos</t>
  </si>
  <si>
    <t>02068.000014/2018-10</t>
  </si>
  <si>
    <t>https://www.gov.br/icmbio/pt-br/assuntos/biodiversidade/pan/pan-canideos</t>
  </si>
  <si>
    <t>CENAP_10.01</t>
  </si>
  <si>
    <t>CENAP_11.01</t>
  </si>
  <si>
    <t>Ungulados</t>
  </si>
  <si>
    <t>02068.000078/2018-11</t>
  </si>
  <si>
    <t>https://www.gov.br/icmbio/pt-br/assuntos/biodiversidade/pan/pan-ungulados</t>
  </si>
  <si>
    <t>Pequenos Felinos - 2º ciclo</t>
  </si>
  <si>
    <t>https://www.gov.br/icmbio/pt-br/assuntos/biodiversidade/pan/pan-pequenos-felinos</t>
  </si>
  <si>
    <t>CENAP_12.02</t>
  </si>
  <si>
    <t>02068.000061/2019-36</t>
  </si>
  <si>
    <t>CENAP_13.01</t>
  </si>
  <si>
    <t>Pequenos Mamíferos de Áreas Abertas</t>
  </si>
  <si>
    <t>02068.000056/2019-23</t>
  </si>
  <si>
    <t>https://www.gov.br/icmbio/pt-br/assuntos/biodiversidade/pan/pan-pequenos-mamiferos-areas-abertas</t>
  </si>
  <si>
    <t>APA da Baleia Franca</t>
  </si>
  <si>
    <t>CENAP_14.01</t>
  </si>
  <si>
    <t>Pequenos Mamíferos de Áreas Florestais</t>
  </si>
  <si>
    <t>02068.000063/2019-25</t>
  </si>
  <si>
    <t>CEPSUL_02.01</t>
  </si>
  <si>
    <t>02070.001393/2013-01</t>
  </si>
  <si>
    <t>https://www.gov.br/icmbio/pt-br/assuntos/biodiversidade/pan/pan-corais</t>
  </si>
  <si>
    <t>CEPSUL_03.01</t>
  </si>
  <si>
    <t>02032.010059/2016-30</t>
  </si>
  <si>
    <t>https://www.gov.br/icmbio/pt-br/assuntos/biodiversidade/pan/pan-lagoas-do-sul</t>
  </si>
  <si>
    <t>CEPSUL_04.02</t>
  </si>
  <si>
    <t>Previsto</t>
  </si>
  <si>
    <t>-</t>
  </si>
  <si>
    <t>https://www.gov.br/icmbio/pt-br/assuntos/biodiversidade/pan/pan-tubaroes</t>
  </si>
  <si>
    <t>CEPTA_05.01</t>
  </si>
  <si>
    <t>Baixo Iguaçu - 1º ciclo</t>
  </si>
  <si>
    <t>02031.010037/2016-80</t>
  </si>
  <si>
    <t>https://www.gov.br/icmbio/pt-br/assuntos/biodiversidade/pan/pan-baixo-iguacu</t>
  </si>
  <si>
    <t>CEPTA_06.01</t>
  </si>
  <si>
    <t>Peixes e Eglas da Mata Atlântica</t>
  </si>
  <si>
    <t>02031000220/2017-58</t>
  </si>
  <si>
    <t>https://www.gov.br/icmbio/pt-br/assuntos/biodiversidade/pan/pan-peixes-e-eglas-da-ma</t>
  </si>
  <si>
    <t>CEPTA_07.02</t>
  </si>
  <si>
    <t>Rivulideos - 2º ciclo</t>
  </si>
  <si>
    <t>02031.000032/2019-91</t>
  </si>
  <si>
    <t>https://www.gov.br/icmbio/pt-br/assuntos/biodiversidade/pan/pan-rivulideos</t>
  </si>
  <si>
    <t>CEPTA_09.01</t>
  </si>
  <si>
    <t>Alto Paraná - 1º ciclo</t>
  </si>
  <si>
    <t>02031.000143/2021-12</t>
  </si>
  <si>
    <t>https://www.gov.br/icmbio/pt-br/assuntos/biodiversidade/pan/pan-alto-parana</t>
  </si>
  <si>
    <t>CMA_06.01</t>
  </si>
  <si>
    <t>Cetáceos Marinhos</t>
  </si>
  <si>
    <t>02034000088/2018-35</t>
  </si>
  <si>
    <t>https://www.gov.br/icmbio/pt-br/assuntos/biodiversidade/pan/pan-cetaceos-marinhos</t>
  </si>
  <si>
    <t>CMA_07.02</t>
  </si>
  <si>
    <t>Toninha - 2º ciclo</t>
  </si>
  <si>
    <t>02034.000033/2019-14</t>
  </si>
  <si>
    <t>https://www.gov.br/icmbio/pt-br/assuntos/biodiversidade/pan/pan-toninha</t>
  </si>
  <si>
    <t>CNPT_01.01</t>
  </si>
  <si>
    <t>Manguezal</t>
  </si>
  <si>
    <t>02177.000048/2018-69</t>
  </si>
  <si>
    <t>https://www.gov.br/icmbio/pt-br/assuntos/biodiversidade/pan/pan-manguezal</t>
  </si>
  <si>
    <t>CPB_11.01</t>
  </si>
  <si>
    <t>Tamanduá-bandeira e Tatus</t>
  </si>
  <si>
    <t>02062.000053/2018-69</t>
  </si>
  <si>
    <t>https://www.gov.br/icmbio/pt-br/assuntos/biodiversidade/pan/pan-tamandua-e-tatus</t>
  </si>
  <si>
    <t>FLONA de Três Barras</t>
  </si>
  <si>
    <t>RAN_09.02</t>
  </si>
  <si>
    <t>Herpetofauna do Sul - 2º ciclo</t>
  </si>
  <si>
    <t>02071.000040/2018-81</t>
  </si>
  <si>
    <t>https://www.gov.br/icmbio/pt-br/assuntos/biodiversidade/pan/pan-herpetofauna-do-sul</t>
  </si>
  <si>
    <t>TAMAR_02.02</t>
  </si>
  <si>
    <t>Tartarugas Marinhas - 2º ciclo</t>
  </si>
  <si>
    <t>02044.010042/2016-43</t>
  </si>
  <si>
    <t>https://www.gov.br/icmbio/pt-br/assuntos/biodiversidade/pan/pan-tartarugas-marinhas</t>
  </si>
  <si>
    <t>Primatas da Mata Atlântica e da Preguiça-de-Coleira</t>
  </si>
  <si>
    <t>02062.000014/2018-61</t>
  </si>
  <si>
    <t>https://www.gov.br/icmbio/pt-br/assuntos/biodiversidade/pan/pan-primatas-ma-e-preguica-de-coleira</t>
  </si>
  <si>
    <t>CEMAVE_32.03</t>
  </si>
  <si>
    <t>Aves dos Campos Sulinos - 3º ciclo</t>
  </si>
  <si>
    <t>02061.000107/2023-63</t>
  </si>
  <si>
    <t>CEMAVE_34.02</t>
  </si>
  <si>
    <t xml:space="preserve">Aves Marinhas - 2º ciclo </t>
  </si>
  <si>
    <t>02061.000048/2023-23</t>
  </si>
  <si>
    <t>CEMAVE_36.04</t>
  </si>
  <si>
    <t>Albatrozes e Petréis - 4º ciclo</t>
  </si>
  <si>
    <t>02061.000007/2024-18</t>
  </si>
  <si>
    <t>TAMAR_03.03</t>
  </si>
  <si>
    <t>Tartarugas Marinhas - 3º ciclo</t>
  </si>
  <si>
    <t>02044.000084/2023-03</t>
  </si>
  <si>
    <t>CNUC</t>
  </si>
  <si>
    <t>Categoria</t>
  </si>
  <si>
    <t>Grupo</t>
  </si>
  <si>
    <t>Municípios sobrepostos pela UC</t>
  </si>
  <si>
    <t>Bioma do Brasil</t>
  </si>
  <si>
    <t>Plano de Manejo</t>
  </si>
  <si>
    <t>Recursos e Valores (RV) - tipo Biodiversidade
(SAMGe 02/08/2024)</t>
  </si>
  <si>
    <t>Principais fatores de ameaça à fauna
(SAMGe 02/08/2024)</t>
  </si>
  <si>
    <t>Ação de manejo para conservação da biodiversidade
(SAMGe 02/08/2024)</t>
  </si>
  <si>
    <t>Participa do MONITORA</t>
  </si>
  <si>
    <t>Pesquisas SISBIO 
(atualização 29/08/2024)</t>
  </si>
  <si>
    <t>1. Usos afetam a biodiversidade ou comunidade 
(DMAG)</t>
  </si>
  <si>
    <t>Espécies ameaçadas de extinção 
(SALVE interno, 2024)</t>
  </si>
  <si>
    <t>Lista Espécies ameaçadas de extinção 
(SALVE interno, 2024)</t>
  </si>
  <si>
    <t>Prioridades contempladas em instrumentos de conservação</t>
  </si>
  <si>
    <t>Fatores que dificultam o planejamento/execução de ações de conservação</t>
  </si>
  <si>
    <t>Observações</t>
  </si>
  <si>
    <t>NGI</t>
  </si>
  <si>
    <t>Ponto focal 
(em 2024)</t>
  </si>
  <si>
    <t>Contato</t>
  </si>
  <si>
    <t>0000.00.0006</t>
  </si>
  <si>
    <t>APA</t>
  </si>
  <si>
    <t>US</t>
  </si>
  <si>
    <t>Florianópolis, Palhoça, Garopaba, Paulo Lopes, Imbituba, Laguna, Jaguaruna, Içara, Tubarão</t>
  </si>
  <si>
    <t>Mata Atlântica / Marinho-costeiro</t>
  </si>
  <si>
    <t>Floresta Ombrofila Densa de Terras Baixas; Floresta Ombrofila Densa Submontana (menor expressão); Vegetação Litorânea constituída por restinga, dunas e mangue; costão rochoso; praias; mar; lagoas; lagunas; ilhas costeiras.</t>
  </si>
  <si>
    <t>PM 2018</t>
  </si>
  <si>
    <t>Baleia-franca-austral (Eubalena australis)
Mamíferos marinhos
Butiazais
Espécies marinho costeiras e continentais ameaçadas e migratórias</t>
  </si>
  <si>
    <r>
      <rPr>
        <i/>
        <sz val="10"/>
        <color rgb="FF000000"/>
        <rFont val="Calibri"/>
        <family val="2"/>
      </rPr>
      <t>Eubalena australis</t>
    </r>
    <r>
      <rPr>
        <sz val="10"/>
        <color rgb="FF000000"/>
        <rFont val="Calibri"/>
        <family val="2"/>
      </rPr>
      <t xml:space="preserve"> (Baleia-franca-austral)</t>
    </r>
  </si>
  <si>
    <t>Pressão de pesca com captura acidental em redes de emalhe para a toninha e para boto-da-tainha; a poluição para o boto-da-tainha
Perda de habitat; queimadas
Sobrepesca; pesca ilegal; perda de habitat; caça, empreendimentos diversos, prospecção petróleo e gás.</t>
  </si>
  <si>
    <t>Realizar o monitoramento para proteção ambiental
Implementar o manejo de espécies ou habitats
Elaborar e distribuir os materiais de comunicação</t>
  </si>
  <si>
    <t>Implantação - Subprograma marinho costeiro, Alvo pesca biodiversidade associada
Projeto especial GEF Mar</t>
  </si>
  <si>
    <t>Alopias vulpinus
Carcharhinus obscurus
Carcharhinus plumbeus
Carcharhinus porosus
Carcharias taurus
Caretta caretta
Cavia intermedia
Cetorhinus maximus
Ctenomys minutus
Cynopoecilus feltrini
Eubalaena australis
Genidens barbus
Gymnura altavela
Hippocampus reidi
Liolaemus occipitalis
Melanophryniscus dorsalis
Mustelus canis
Mustelus fasciatus
Mustelus schmitti
Mycetophylax simplex
Narcine brasiliensis
Parides bunichus
Physeter macrocephalus
Pontoporia blainvillei
Procellaria aequinoctialis
Rioraja agassizii
Sphyrna lewini
Sphyrna zygaena
Squatina argentina
Sterna hirundinacea
Sympterygia bonapartii
Tropidurus imbituba
Tursiops gephyreus</t>
  </si>
  <si>
    <t>Caretta caretta
Chelonia mydas
Eubalaena australis
Pontoporia blainvillei</t>
  </si>
  <si>
    <t>Artigo Paludoetal2022_Aves limicolas na costa brasileira</t>
  </si>
  <si>
    <t>0000.00.0021</t>
  </si>
  <si>
    <t>Alegrete, Rosário do Sul, Santana do Livramento, Quaraí</t>
  </si>
  <si>
    <t>Pampa</t>
  </si>
  <si>
    <t>formações campestres e florestais de clima temperado</t>
  </si>
  <si>
    <t>PM 1998</t>
  </si>
  <si>
    <t>Mata aluvial
Campos naturais
Fauna e flora característicos do bioma Pampa
Espécies da flora e fauna ameaçadas</t>
  </si>
  <si>
    <t>Espécies ameaçadas</t>
  </si>
  <si>
    <t>Uso de herbicidas em campos naturais, queimadas e introdução de espécies exóticas
Pesca clandestina, contaminação por agrotóxicos, caça e invasão por porcos ferais</t>
  </si>
  <si>
    <t>Realizar a fiscalização
Realizar o monitoramento da biodiversidade</t>
  </si>
  <si>
    <t>Implantação - Subprograma terrestre, Componentes campestre savânico
Projeto especial GEF Terrestre</t>
  </si>
  <si>
    <t>Circus cinereus
Gubernatrix cristata
Homonota uruguayensis
Leopardus geoffroyi
Leopardus wiedii
Mycetopoda legumen
Pseudoseisura lophotes
Sporophila palustris
Sporophila ruficollis
Stenocercus azureus</t>
  </si>
  <si>
    <t>Lamproscapha ensiformis
Mycetopoda legumen
Mycetopoda siliquosa</t>
  </si>
  <si>
    <t>Raul Candido Da Trindade Paixao Coelho</t>
  </si>
  <si>
    <t>raul.coelho@icmbio.gov.br</t>
  </si>
  <si>
    <t>0000.00.0070</t>
  </si>
  <si>
    <t>ESEC</t>
  </si>
  <si>
    <t>PI</t>
  </si>
  <si>
    <t>Rio Grande, Santa Vitória do Palmar</t>
  </si>
  <si>
    <t>Floresta Estacional Semidecídua, Floresta Ombrófila Mista e formações Pioneiras Aluviais</t>
  </si>
  <si>
    <t>PM 2021</t>
  </si>
  <si>
    <t>Fauna
Ambiente de pesquisa e educação
Banhado
Diversidade de ambientes
Avifauna</t>
  </si>
  <si>
    <t>Atropelamento ao longo da BR 471
Fatores Naturais/Seminaturais</t>
  </si>
  <si>
    <t>Realizar o monitoramento para proteção ambiental
Planejar ações de manejo de espécies ou habitats
Avaliar impactos ambientais em processo de licenciamento ambiental</t>
  </si>
  <si>
    <t>Caretta caretta
Ceratophrys ornata
Circus cinereus
Ctenomys flamarioni
Diomedea epomophora
Herpailurus yagouaroundi
Heteroxolmis dominicanus
Leopardus geoffroyi
Leopardus wiedii
Liolaemus occipitalis
Wilfredomys oenax</t>
  </si>
  <si>
    <t>Fernando Dos Santos Weber</t>
  </si>
  <si>
    <t>fernando.weber@icmbio.gov.br</t>
  </si>
  <si>
    <t>0000.00.0078</t>
  </si>
  <si>
    <t>FLONA</t>
  </si>
  <si>
    <t>Caçador</t>
  </si>
  <si>
    <t>Mata Atlântica</t>
  </si>
  <si>
    <t>Floresta ombrófila mista</t>
  </si>
  <si>
    <t>PM 1989</t>
  </si>
  <si>
    <t>Plantios antigos de araucária (Araucaria angustifolia), constituindo banco genético de material não mais existente na natureza.
Flora e fauna nativos
Espécies ameaçadas e vulneráveis
Floresta Ombrófila Mista - regeneração sub-bosques de plantios florestais araucária e pinus</t>
  </si>
  <si>
    <t xml:space="preserve">Cyanocorax caeruleus (Gralha-azul), Amazona vinacea (Papagaio-do-peito-roxo), Puma concolor (onça-parda); 
</t>
  </si>
  <si>
    <t>Espécies exóticas invasoras; caça; fogo.</t>
  </si>
  <si>
    <t>Realizar o monitoramento para proteção ambiental
Gerir atividades de pesquisa e gestão do conhecimento
Elaborar e acompanhar parcerias para a gestão da UC
Implementar ações de Educação Ambiental</t>
  </si>
  <si>
    <t>Amazona vinacea</t>
  </si>
  <si>
    <t>Amazona vinacea
Cyanocorax caeruleus
Puma concolor</t>
  </si>
  <si>
    <t>0000.00.0087</t>
  </si>
  <si>
    <t>Canela</t>
  </si>
  <si>
    <t xml:space="preserve">Mata Atlântica (Floresta Ombrófila Mista Aluvial e de Floresta Ombrófila Mista Montana),  em área de Floresta Ombrófila Mista, com área de floresta nativa (20%), reflorestamento com Araucaria angustifolia (31%), Pinus spp. (18%), Eucalyptus spp. (2%), banhados (6%), lagoas, estradas, aceiros, área de lazer, etc. (23%). </t>
  </si>
  <si>
    <t>PM 2017</t>
  </si>
  <si>
    <t>Floresta Ombrófila Mista (Mata de Araucária)</t>
  </si>
  <si>
    <t>Fatores Naturais/Seminaturais</t>
  </si>
  <si>
    <t>Realizar sinalização dos limites
Realizar o monitoramento para proteção ambiental
Gerir atividades de pesquisa e gestão do conhecimento</t>
  </si>
  <si>
    <t>Alouatta guariba
Amazona pretrei
Amazona vinacea
Dasyprocta azarae
Leopardus tigrinus
Nasua nasua
Puma yagouaroundi
Rectartemon depressus</t>
  </si>
  <si>
    <t>0000.00.0080</t>
  </si>
  <si>
    <t>Guatambú, Chapecó</t>
  </si>
  <si>
    <t>Floresta Estacional Decidual</t>
  </si>
  <si>
    <t>PM 2013</t>
  </si>
  <si>
    <t>Espécies da flora e fauna (araucária angustifolia, ilex paraguariensis, Dicksonia sellowiana, Amazonea vinacea,  Cerdocyon thous, Cedrela fissilis)</t>
  </si>
  <si>
    <t>Amazonea vinacea, Cerdocyon thous</t>
  </si>
  <si>
    <t>Implementar o manejo de espécies ou habitats
Implementar ações voltadas à exploração de produtos não madeireiros
Garantir recursos humanos para realização das atividades</t>
  </si>
  <si>
    <t>Leopardus guttulus</t>
  </si>
  <si>
    <t>Amazona vinacea
Cerdocyon thous</t>
  </si>
  <si>
    <t>0000.00.0133</t>
  </si>
  <si>
    <t>São Francisco de Paula</t>
  </si>
  <si>
    <t>Floresta ombrófila mista, campos e banhados</t>
  </si>
  <si>
    <t>PM 2020</t>
  </si>
  <si>
    <t>Avifauna, Araucária</t>
  </si>
  <si>
    <t>aves endêmicas e migratórias ameaçadas</t>
  </si>
  <si>
    <t>Realizar o monitoramento da biodiversidade
Realizar a fiscalização
Comunicar e divulgar por meio das redes sociais</t>
  </si>
  <si>
    <t>Amazona vinacea
Chrysocyon brachyurus
Herpailurus yagouaroundi
Leopardus guttulus
Leopardus wiedii
Mazama nana
Melanophryniscus cambaraensis
Sporophila melanogaster
Urubitinga coronata</t>
  </si>
  <si>
    <t>Amazona pretrei
Amazona vinacea
Chrysocyon brachyurus
Leopardus pardalis
Leopardus tigrinus
Myotis ruber
Piprites pileata
Puma concolor
Urubitinga coronata</t>
  </si>
  <si>
    <t>0000.00.0134</t>
  </si>
  <si>
    <t>Três Barras</t>
  </si>
  <si>
    <t>Floresta Ombrófila Mista</t>
  </si>
  <si>
    <t>PM 2016</t>
  </si>
  <si>
    <t>Ocorrência de Fogo Criminoso na Gleba Norte da Unidade.
Presença de Sus scrofa (Javali) e seus híbridos, com impacto na cadeia alimentar, meio biótico e abiótico.
Fragmentação dos ambientes naturais pelos plantios exóticos e invasão provocada pela dispersão natural oriunda destes plantios.</t>
  </si>
  <si>
    <t>Realizar o monitoramento para proteção ambiental
Realizar ações de Manejo Integrado do Fogo
Realizar a fiscalização
Planejar ações de manejo de espécies ou habitats
Gerir atividades de pesquisa e gestão do conhecimento
Implementar o manejo de espécies ou habitats
Elaborar e acompanhar parcerias para a gestão da UC</t>
  </si>
  <si>
    <t>Celeus galeatus
Chrysocyon brachyurus
Herpailurus yagouaroundi
Leopardus guttulus
Leopardus wiedii
Scytalopus iraiensis
Sporophila hypoxantha</t>
  </si>
  <si>
    <t>Chrysocyon brachyurus
Leopardus pardalis
Leopardus tigrinus
Myotis ruber
Puma concolor
Scytalopus iraiensis</t>
  </si>
  <si>
    <t>0000.00.0140</t>
  </si>
  <si>
    <t>PARNA</t>
  </si>
  <si>
    <t>Mostardas, Tavares</t>
  </si>
  <si>
    <t>vegetação de restinga</t>
  </si>
  <si>
    <t>PM 2004</t>
  </si>
  <si>
    <t>Área marinha da UC, faixa de  água 1000 metros mar adentro que pertence ao Parque.
Vegetação de restinga que se estende pela UC.
Formações campestres nativas, importante habitat para espécies ameaçadas.
Paisagens naturais, ecossistema litorâneo, habitat das aves migratórias e residentes.</t>
  </si>
  <si>
    <t>Realizar o monitoramento da biodiversidade
Realizar a regularização fundiária em imóveis privados
Contextualizar a Interface Territorial</t>
  </si>
  <si>
    <t>Operação - Subprograma marinho costeiro, Componente praia, Alvo pesca biodiversidade associada, Alvo aves limícolas
Projeto especial GEF Mar</t>
  </si>
  <si>
    <t>Anthus nattereri
Asthenes hudsoni
Calidris canutus
Calidris pusilla
Calidris subruficollis
Caretta caretta
Circus cinereus
Ctenomys flamarioni
Ctenomys minutus
Epinephelus marginatus
Eretmochelys imbricata
Eubalaena australis
Laterallus spilopterus
Lepidochelys olivacea
Limnodromus griseus
Liolaemus occipitalis
Mustelus fasciatus
Mycetophylax simplex
Myliobatis ridens
Numenius hudsonicus
Pogonias courbina
Pontoporia blainvillei
Procellaria aequinoctialis
Pseudobatos horkelii
Sterna hirundinacea
Thalassarche chlororhynchos
Thalasseus maximus</t>
  </si>
  <si>
    <t>Calidris canutus
Calidris pusilla
Calidris subruficollis
Circus cinereus
Conopophaga lineata
Larus atlanticus
Limnodromus griseus
Numenius hudsonicus
Porzana spiloptera
Sterna hirundinacea
Thalasseus acuflavidus
Thalasseus maximus
Thamnophilus caerulescens</t>
  </si>
  <si>
    <t>Blumenau, Indaial, Gaspar, Guabiruba, Botuverá, Vidal Ramos, Presidente Nereu, Apiúna, Brusque</t>
  </si>
  <si>
    <t>Floresta Ombrófila Densa Submontana, Floresta Ombrófila Densa Montana e
Floresta Ombrófila Densa Alto Montana.</t>
  </si>
  <si>
    <t>PM 2009</t>
  </si>
  <si>
    <t>Mata Atlântica, bioma de especial proteção, ao qual abrange toda a Unidade.
Palmito Juçara, canela preta, canela sassafrás e outros
Puma concolor, gavião pombo, papagaio de peito roxo e outros</t>
  </si>
  <si>
    <t>Amadonastur lacernulatus (gavião-pombo-pequeno), Amazona vinacea (papagaio de peito roxo)</t>
  </si>
  <si>
    <t>O palmito Juçara tem sido alvo de extração indiscriminada o que pode reduzir a fonte de alimento para fauna e a viabilidade populacional da espécie.
Caça contribuindo no desequilíbrio populacional das espécies.</t>
  </si>
  <si>
    <t>Realizar o monitoramento da biodiversidade
Realizar a fiscalização
Elaborar Programa/Plano de Educação Ambiental</t>
  </si>
  <si>
    <t>Aburria jacutinga
Amadonastur lacernulatus
Amazona vinacea
Herpailurus yagouaroundi
Laniisoma elegans
Leopardus guttulus
Leopardus wiedii
Platyrinchus leucoryphus
Pulsatrix perspicillata
Tayassu pecari</t>
  </si>
  <si>
    <t>Amadonastur lacernulatus
Amazona vinacea
Biatas nigropectus
Leopardus wiedii
Phylloscartes kronei
Puma concolor</t>
  </si>
  <si>
    <t>Viviane Daufemback</t>
  </si>
  <si>
    <t>viviane.daufemback@icmbio.gov.br</t>
  </si>
  <si>
    <t>0000.00.0165</t>
  </si>
  <si>
    <t>Urubici, Grão Pará, Orleans, Lauro Muller, Bom Jardim da Serra</t>
  </si>
  <si>
    <t>Floresta Ombrófila Mista, Estepe.</t>
  </si>
  <si>
    <t>Mata de Araucárias - Floresta Ombrófila Mista
Matinhas Nebulares e Campos de Altitude
Floresta Ombrófila Densa
Espécies ameaçadas - Leão baio, Xaxim, papagaio charão, Jaguatirica, Papagaio do peito roxo, Águia cinzenta, Pedreirinho, Noivinha do rabo preto
Espécies endêmicas - plantas, fungos, insetos e aves</t>
  </si>
  <si>
    <t>Amazona pretrei (papagaio charão), Amazona vinacea (Papagaio-do-peito-roxo), Urubitinga coronata (Águia cinzenta), Heteroxolmis dominicanus (Noivinha do rabo preto), Puma concolor (Leão-baio), Leopardus pardalis (Jaguatirica), Cinclodes pabsti (Pedreirinho)</t>
  </si>
  <si>
    <t>Turismo desordenado, incêndios em áreas regularizadas e queimas controladas, pecuária extensiva, ausência de regularização fundiária, espécies exóticas invasoras.</t>
  </si>
  <si>
    <t>Realizar a regularização fundiária em imóveis privados
Realizar a fiscalização
Planejar ações de manejo de espécies ou habitats
Realizar a pesquisa científica</t>
  </si>
  <si>
    <t>Amazona pretrei
Amazona vinacea
Chrysocyon brachyurus
Herpailurus yagouaroundi
Heteroxolmis dominicanus
Leopardus guttulus
Leopardus wiedii
Pampasatyrus gyrtone
Sporophila hypoxantha
Sporophila melanogaster
Urubitinga coronata</t>
  </si>
  <si>
    <t>Amazona pretrei
Amazona vinacea
Chrysocyon brachyurus
Cinclodes pabsti
Heteroxolmis dominicanus
Leopardus pardalis
Puma concolor
Urubitinga coronata</t>
  </si>
  <si>
    <t>0000.00.0172</t>
  </si>
  <si>
    <t>Céu Azul, Matelândia, Serranópolis do Iguaçu, São Miguel do Iguaçu, Foz do Iguaçu, Capanema, Capitão Leonidas Marques, Lindoeste, Santa tereza do Oeste, Santa Terezinha do Itaipu.</t>
  </si>
  <si>
    <t>Floresta Estacional Semidecidual (FES), do tipo Submontana região Central e Sul, e Montanamais ao Norte</t>
  </si>
  <si>
    <t>Malha hídrica
Maciço Florestal (Ombrófila Mista e Estacional Semidecidual)
Bacia do Rio Floriano
Diversidade Biológica
Onça-pintada (Panthera onca)
Palmeira Juçara (Euterpe edulis)
Surubim-do-Iguaçu (Steindachneridion melanodermatum)
Espécies ameaçadas
Rio Iguaçu
Araucária (Araucaria angustifolia)
Áreas úmidas (Formações pioneiras aluviais)</t>
  </si>
  <si>
    <r>
      <rPr>
        <i/>
        <sz val="10"/>
        <color rgb="FF000000"/>
        <rFont val="Calibri"/>
        <family val="2"/>
      </rPr>
      <t>Panthera onca</t>
    </r>
    <r>
      <rPr>
        <sz val="10"/>
        <color rgb="FF000000"/>
        <rFont val="Calibri"/>
        <family val="2"/>
      </rPr>
      <t xml:space="preserve"> (Onça-pintada), Steindachneridion melanodermatum (Surubim-do-Iguaçu), Espécies ameaçadas</t>
    </r>
  </si>
  <si>
    <t>Espécies exóticas invasoras; caça; pesca; extração de palmito; visitação pública (polo Cataratas); empreendimentos, desmatamentos e uso do solo no entorno; rodovias; regulação da vazão do Rio Iguaçu; ausência ZA; falta de conectividade no entorno.
Caça da espécie e de suas presas; baixa densidade populacional; baixa conectividade no entorno; ampliação da visitação pública (em especial no polo Cataratas).
Extração ilegal; mudanças climáticas.
Espécie endêmica do Rio Iguaçu; pesca predatória; redução de habitat por UHEs no Rio Iguaçu, em especial a Baixo Iguaçu; crise hídrica decorrente de mudanças climáticas; introdução de espécies exóticas; aquicultura do entorno.
Falta de dados; mudanças climáticas; caça; pesca; extração ilegal de palmito; empreendimentos do entorno; poluição; rodovias.</t>
  </si>
  <si>
    <t>Realizar ações preparatórias para o Manejo Integrado do Fogo
Realizar a fiscalização
Gerir atividades de pesquisa e gestão do conhecimento
Elaborar Projeto Político Pedagógico (PPPEA)
Implementar o manejo de espécies ou habitats
Elaborar o planejamento Tático/Operacional
Formar / modificar o Conselho Gestor</t>
  </si>
  <si>
    <t>Operação - Subprograma terrestre, Componentes florestal alvo global, Alvo Borboletas, Alvo Mamíferos e aves</t>
  </si>
  <si>
    <t>Aburria jacutinga
Brycon orbignyanus
Celeus galeatus
Chrysocyon brachyurus
Harpia harpyja
Herpailurus yagouaroundi
Leopardus guttulus
Leopardus wiedii
Mazama nana
Myrmecophaga tridactyla
Panthera onca
Paraclaravis geoffroyi
Speothos venaticus
Sporophila falcirostris
Steindachneridion melanodermatum
Steindachneridion scriptum
Tapirus terrestris
Tayassu pecari
Tigrisoma fasciatum
Urubitinga coronata</t>
  </si>
  <si>
    <t>Aburria jacutinga
Biatas nigropectus
Celeus galeatus
Leopardus pardalis
Leopardus tigrinus
Myotis ruber
Ochropyge ruficauda
Panthera onca
Piprites pileata
Puma concolor
Steindachneridion melanodermatum
Tigrisoma fasciatum</t>
  </si>
  <si>
    <t>https://d3nehc6yl9qzo4.cloudfront.net/downloads/guia_fauna_parna_iguacu.pdf</t>
  </si>
  <si>
    <t>Marius da Silva Pinto Belluci</t>
  </si>
  <si>
    <t>marius.belluci@icmbio.gov.br</t>
  </si>
  <si>
    <t>0000.00.0190</t>
  </si>
  <si>
    <t>REVIS</t>
  </si>
  <si>
    <t>Torres</t>
  </si>
  <si>
    <t>Marinho costeiro</t>
  </si>
  <si>
    <t>não comporta vegetação, pois é formada totalmente por rochas.</t>
  </si>
  <si>
    <t>PM 2023</t>
  </si>
  <si>
    <t>Pinípedes (lobos e leões marinhos) e Outras Espécies da Biota</t>
  </si>
  <si>
    <t>Realizar o monitoramento da biodiversidade
Realizar a fiscalização
Gerir atividades de pesquisa e gestão do conhecimento
Implementar ações de Educação Ambiental</t>
  </si>
  <si>
    <t>Implantação - Subprograma marinho costeiro</t>
  </si>
  <si>
    <t>Carcharodon carcharias
Eubalaena australis
Pontoporia blainvillei</t>
  </si>
  <si>
    <t>Anchoa marinii
Anchoa tricolor
Arctocephalus australis
Arctocephalus gazella
Arctocephalus tropicalis
Ardea cocoi
Ardenna grisea
Arenaria interpres
Atlantoraja castelnaui
Brevoortia pectinata
Bubulcus ibis
Calidris alba
Calidris canutus
Caranx hippos
Caranx latus
Carcharias taurus
Centropomus parallelus
Chaetodipterus faber
Charadrius semipalmatus
Chelonia mydas
Chroicocephalus maculipennis
Coragyps atratus
Cynoscion guatucupa
Cynoscion jamaicensis
Egretta thula
Engraulis anchoita
Epinephelus marginatus
Eretmochelys imbricata
Eubalaena australis
Fregata magnificens
Genidens barbus
Genidens machadoi
Gymnura altavela
Haematopus palliatus
Harengula clupeola
Hydrurga leptonyx
Katsuwonus pelamis
Larus dominicanus
Lobodon carcinophaga
Lycengraulis grossidens
Macrodon atricauda
Macronectes giganteus
Megaptera novaeangliae
Menticirrhus gracilis
Menticirrhus martinicensis
Microphis brachyurus
Micropogonias furnieri
Mirounga leonina
Mugil brevirostris
Mugil curema
Mugil liza
Myliobatis freminvillei
Nannopterum brasilianum
Odontesthes argentinensis
Oncopterus darwini
Orthopristis ruber
Otaria flavescens
Pagrus pagrus
Paralonchurus brasiliensis
Peprilus xanthurus
Platanichthys platana
Podicephorus major
Pogonias cromis
Pomatomus saltatrix
Pontoporia blainvillei
Priacanthus arenatus
Procellaria aequinoctialis
Pseudobatos horkelii
Puffinus puffinus
Ramnogaster arcuata
Rhincodon typus
Rynchops niger
Sardinella brasiliensis
Spheniscus magellanicus
Sphyrna lewini
Squatina guggenheim
Squatina occulta
Stercorarius antarcticus
Stercorarius chilensis
Stercorarius parasiticus
Sterna hirundinacea
Sterna hirundo
Sterna trudeaui
Sternula superciliaris
Stromateus brasiliensis
Sula leucogaster
Thalassarche chlororhynchos
Thalassarche melanophris
Thalasseus acuflavidus
Thalasseus maximus
Trichiurus lepturus
Tursiops truncatus
Umbrina canosai
Urophycis brasiliensis
Zapteryx brevirostris</t>
  </si>
  <si>
    <t>Aline Kellermann</t>
  </si>
  <si>
    <t>aline.kellermann@icmbio.gov.br</t>
  </si>
  <si>
    <t>0000.00.0275</t>
  </si>
  <si>
    <t>REBIO</t>
  </si>
  <si>
    <t>Cianorte, Tuneiras do Oeste</t>
  </si>
  <si>
    <t>Floresta ombrófila mista em estágio médio de sucessão.</t>
  </si>
  <si>
    <t>Ambientes aquáticos
Avifauna
Mamíferos ameaçados de extinção
Floresta Estacional Semidecidual</t>
  </si>
  <si>
    <t>Mamíferos ameaçados de extinção</t>
  </si>
  <si>
    <t>Degradação de Áreas de Preservação Permanente a montante da UC, incluindo drenagem de trecho da BR-487, afetam a qualidade dos ambientes aquáticos.
Caça e atropelamentos na BR-487, ao lado da UC.</t>
  </si>
  <si>
    <t>Realizar a fiscalização
Implantar o uso público
Gerir atividades de pesquisa e gestão do conhecimento
Implementar ações de Educação Ambiental
Avaliar impactos ambientais em processo de licenciamento ambiental</t>
  </si>
  <si>
    <t>Tapirus terrestris
Tayassu pecari</t>
  </si>
  <si>
    <t>Antonio Guilherme Candido Da Silva</t>
  </si>
  <si>
    <t>antonio.silva@icmbio.gov.br</t>
  </si>
  <si>
    <t>0000.00.0017</t>
  </si>
  <si>
    <t>Guaraqueçaba, Paranaguá, Antonina, Campina Grande do Sul, Barra do Turvo, Cananéia</t>
  </si>
  <si>
    <t>Floresta Ombrófila Densa Montana e Alto-montana ocupa 166.601,00 ha (52,90%); Floresta Ombrófila Densa de Planície Fluvial e Restinga ocupa 90.299,16 ha (28,68%), Manguezais ocupam 18.127,04 ha (5,76%); Porção Estuário-lagunar ocupa 39.858,21 ha (13.66%).</t>
  </si>
  <si>
    <t>Floresta ombrofila densa
Jussara - Euterpe edulis
Papagaio-da-cara-roxa - Amazona brasiliensis
Caranguejo - Ucides cordatus
Grandes mamíferos
Fauna cinegética</t>
  </si>
  <si>
    <t>Redução do habitat, tráfico. Situação de intervenção dada por pesquisas e monitoramento realizado por parceiros (SPVS) 
Sobrepesca. Situação de intervenção descrita a partir de observações em campo e relatos locais.
Caça. Situação de intervenção descrita a partir de observações em campo e monitoramentos realizados por parceiros (Pro-carnívoros)
Caça e coleta. Situação de intervenção descrita a partir de observações em campo.</t>
  </si>
  <si>
    <t>Realizar a fiscalização
Gerir atividades de pesquisa e gestão do conhecimento
Avaliar impactos ambientais em processo de licenciamento ambiental
Realizar o monitoramento da biodiversidade
Contextualizar a Interface Territorial
Elaborar Plano de Comunicação
Realizar sinalização dos limites</t>
  </si>
  <si>
    <t>Operação - Subprograma marinho costeiro, Componente manguezal, Alvo vegetação, Alvo carangueijo-uça</t>
  </si>
  <si>
    <t>Aburria jacutinga
Amadonastur lacernulatus
Amazona vinacea
Brachyteles arachnoides
Calidris subruficollis
Diopatra cuprea
Formicivora acutirostris
Genidens barbus
Herpailurus yagouaroundi
Hippocampus reidi
Laniisoma elegans
Leontopithecus caissara
Leopardus guttulus
Lytechinus variegatus
Mimagoniates lateralis
Mobula birostris
Morphnus guianensis
Odontostomus dautzenbergianus
Onychorhynchus swainsoni
Panthera onca
Paraclaravis geoffroyi
Platyrinchus leucoryphus
Pogonias courbina
Pontoporia blainvillei
Procellaria conspicillata
Scleromystax macropterus
Sotalia guianensis
Speothos venaticus
Spintherobolus ankoseion
Sporophila falcirostris
Sporophila frontalis
Sterna hirundinacea
Tapirus terrestris
Tayassu pecari
Thalasseus maximus
Tigrisoma fasciatum
Touit melanonotus</t>
  </si>
  <si>
    <t>Aburria jacutinga
Amadonastur lacernulatus
Amazona brasiliensis
Carpornis melanocephala
Elacatinus figaro
Leontopithecus caissara
Paraclaravis geoffroyi
Tigrisoma fasciatum
Ucides cordatus</t>
  </si>
  <si>
    <t>Projeto do Papagaio da cara-roxa; berçario de toninhas e botos</t>
  </si>
  <si>
    <t>NGI Antonina-Guaraqueçaba</t>
  </si>
  <si>
    <t>Shanna Bittencourt</t>
  </si>
  <si>
    <t>shanna.bittencourt@icmbio.gov.br</t>
  </si>
  <si>
    <t>0000.00.0054</t>
  </si>
  <si>
    <t>Antonina</t>
  </si>
  <si>
    <t>Floresta Ombrófila Densa</t>
  </si>
  <si>
    <t>Não possui</t>
  </si>
  <si>
    <t>Caranguejo - Ucides cordatus
Guará - Eudocimus ruber
Banco de desova de mero - Epinephelus itajara</t>
  </si>
  <si>
    <t>Sobrepesca. Situação de intervenção descrita a partir de observações em campo e relatos locais.
Situação de intervenção indicada em função do histórico recente de reaparecimento da espécie localmente; sem dados objetivos de monitoramento do RVF.
Uso desordenado, atividade portuária, poluição e ocupação no entorno. Situação de intervenção dada por recomendação de pesquisadores; não há monitoramento específico.</t>
  </si>
  <si>
    <t>Realizar o monitoramento da biodiversidade
Organizar e participar em eventos
Implementar o manejo de espécies ou habitats
Realizar ações preparatórias do monitoramento da biodiversidade
Gerir atividades de pesquisa e gestão do conhecimento
Contextualizar a Interface Territorial
Comunicar e divulgar por meio das redes sociais</t>
  </si>
  <si>
    <t>Diopatra cuprea
Leopardus guttulus
Sotalia guianensis
Tigrisoma fasciatum</t>
  </si>
  <si>
    <t>Amazona brasiliensis
Epinephelus itajara
Eudocimus ruber
Ucides cordatus</t>
  </si>
  <si>
    <t>Vinculado ao PAN Primatas tem um Projeto com o mico-leão da cara preta, gerido pela SPVS.</t>
  </si>
  <si>
    <t>0000.00.0178</t>
  </si>
  <si>
    <t>Guaraqueçaba</t>
  </si>
  <si>
    <t>Ambientes Costeiro Marinho. Mata Atlântica – Floresta Ombrófila Densa; Formações Pioneiras. Serra do Mar ou Floresta Ombrófila Densa e ecossistemas associados (manguezal e
restinga). Segundo Ibama esta ecorregião é denominada Florestas Costeiras da Serra do Mar.</t>
  </si>
  <si>
    <t>Fauna cinegética
Aves marinhas migratórias e residentes
Caranguejo - Ucides cordatus
Palmeira jussara - Euterpe edulis
Mico-leão-da-cara-preta - Leontopithecus caissara
Papagaio-de-cara-roxa - Amazona brasiliensis</t>
  </si>
  <si>
    <t>Leontopithecus caissara (Mico-leão-da-cara-preta), Amazona vinacea (Papagaio-do-peito-roxo), Ucides cordatus (Caranguejo-uça)</t>
  </si>
  <si>
    <t>Caça.
Gripe aviária emergente em 2023, trânsito de motos na praia Deserta do Superagui, plástico e microplástico, poluição.
Coleta sem controle e geralmente utilizando lacinho (proibido). Coleta por população tradicional local e por pessoas de outras regiões.
perda de habitat, epizootias, interações com animais domésticos.
captura, distúrbio do dormitório coletivo na ilha do Pinheiro.</t>
  </si>
  <si>
    <t>Realizar o monitoramento da biodiversidade
Gerir atividades de pesquisa e gestão do conhecimento
Elaborar e acompanhar parcerias para a gestão da UC
Planejar ações de manejo de espécies ou habitats</t>
  </si>
  <si>
    <t>Operação - Subprograma terrestre, Componentes florestal alvo global, Alvo Borboletas, Alvo Plantas aróreas, Alvo Mamíferos e aves (parado); Operação - Subprograma marinho costeiro, Componente manguezal, Alvo vegetação, Alvo carangueijo-uça</t>
  </si>
  <si>
    <t>Amadonastur lacernulatus
Carcharhinus plumbeus
Carcharias taurus
Caretta caretta
Gymnura altavela
Harpia harpyja
Leontopithecus caissara
Narcine brasiliensis
Pontoporia blainvillei
Procellaria aequinoctialis
Pseudobatos percellens
Rhinoptera brasiliensis
Sotalia guianensis
Zapteryx brevirostris</t>
  </si>
  <si>
    <t>Amadonastur lacernulatus
Amazona brasiliensis
Carpornis melanocephala
Crypturellus noctivagus
Leontopithecus caissara
Paracentrotus gaimardi
Puma concolor
Ucides cordatus</t>
  </si>
  <si>
    <t>0000.00.2634</t>
  </si>
  <si>
    <t>Antonina, Guaraqueçaba, Paranaguá</t>
  </si>
  <si>
    <t>Fauna Cinegética
Palmeira Jussara - Euterpe edulis
Floresta Ombrófila Densa
Grandes Mamíferos</t>
  </si>
  <si>
    <t>Caça, perda de habitat
Caça de presas e indivíduos; perda de habitat, existem pesquisas sobre a distribuição/densidade de grandes mamíferos na unidade</t>
  </si>
  <si>
    <t>Realizar o monitoramento da biodiversidade
Gerir atividades de pesquisa e gestão do conhecimento
Elaborar e acompanhar parcerias para a gestão da UC
Realizar a fiscalização
Realizar a regularização fundiária em imóveis privados
Avaliar impactos ambientais em processos diversos</t>
  </si>
  <si>
    <t>Leopardus guttulus
Paraclaravis geoffroyi
Tapirus terrestris
Tayassu pecari
Tigrisoma fasciatum</t>
  </si>
  <si>
    <t>Alouatta caraya
Cerdocyon thous
Leopardus pardalis
Leopardus wiedii
Puma concolor
Speothos venaticus
Tapirus terrestris</t>
  </si>
  <si>
    <t>0000.00.0153</t>
  </si>
  <si>
    <t>Jacinto Machado, Praia Grande, Cambará do Sul</t>
  </si>
  <si>
    <t>Floresta Ombrófila Mista, Floresta Ombrófila Densa Montana e Submontana, Floresta Nebular, Campos Secos, Campos Turfosos, Campos Rupestres e Vegetação Rupícola.</t>
  </si>
  <si>
    <t>Vegetação de altitude
Vegetação rupícola
Floresta ombrófila densa
Esponja-corvomênia (Corvomeyenia epilithosa)
Leão-baio</t>
  </si>
  <si>
    <t>Extrativismo de palmito, áreas degradadas por desmatamento, Caça, Espécies Exóticas Invasoras (javali, porcos, uva-do-japão, eucalipto), coleta ilegal de plantas ornamentais (biopirataria)
Captação de água no Arroio Segredo para abastecimento de estruturas de Uso Público operadas pela concessionária. Exige cuidados especiais do Manejo Integrado do Fogo ao manejar a vegetação na bacia hidrográfica do Arroio Segredo.</t>
  </si>
  <si>
    <t>Realizar ações preparatórias para o Manejo Integrado do Fogo
Gerir atividades de pesquisa e gestão do conhecimento
Implantar o uso público
Realizar a fiscalização</t>
  </si>
  <si>
    <t>Amazona pretrei
Amazona vinacea
Anthus nattereri
Chrysocyon brachyurus
Corvomeyenia epilithosa
Heteroxolmis dominicanus
Leopardus guttulus
Leopardus wiedii
Mazama nana
Melanophryniscus cambaraensis
Pulsatrix perspicillata
Scytalopus iraiensis
Sporophila melanogaster
Urubitinga coronata
Xanthopsar flavus</t>
  </si>
  <si>
    <t>Amazona pretrei
Amazona vinacea
Corvomeyenia epilithosa
Leopardus tigrinus
Leopardus wiedii
Melanophryniscus macrogranulosus
Mimagoniates rheocharis
Puma concolor
Urubitinga coronata</t>
  </si>
  <si>
    <t>NGI Aparados da Serra Geral</t>
  </si>
  <si>
    <t>0000.00.0158</t>
  </si>
  <si>
    <t>Cambará do Sul, Praia Grande</t>
  </si>
  <si>
    <t>Floresta Ombrófila Densa
Vegetação Rupícola
Vegetação de Altitude
Leão-baio
Abelhas-de-solo (Monoeca xanthopyga)</t>
  </si>
  <si>
    <t>Extrativismo de palmito, áreas degradadas por desmatamento, Caça, Espécies Exóticas Invasoras (javali, porcos, uva-do-japão, eucalipto), coleta ilegal de plantas ornamentais (biopirataria)
Pisoteio por visitantes e trabalhadores da concessionária, passagem de veículos sobre os ninhos na Trilha do Cotovelo/PNAS.</t>
  </si>
  <si>
    <t>Revisar o Plano de Manejo
Gerir atividades de pesquisa e gestão do conhecimento
Emitir Autorização Direta
Realizar ações preparatórias para o Manejo Integrado do Fogo
Realizar a fiscalização</t>
  </si>
  <si>
    <t>Projeto especial GEF Terrestre</t>
  </si>
  <si>
    <t>Aburria jacutinga
Amazona pretrei
Amazona vinacea
Anthus nattereri
Chrysocyon brachyurus
Herpailurus yagouaroundi
Heteroxolmis dominicanus
Hollandichthys taramandahy
Leopardus guttulus
Leopardus wiedii
Pulsatrix perspicillata
Scytalopus iraiensis
Sporophila melanogaster
Urubitinga coronata
Xanthopsar flavus</t>
  </si>
  <si>
    <t>Amazona pretrei
Amazona vinacea
Mimagoniates rheocharis
Monoeca xanthopyga
Piprites pileata
Puma concolor
Xanthopsar flavus</t>
  </si>
  <si>
    <t>0000.00.0125</t>
  </si>
  <si>
    <t>Fernandes Pinheiro</t>
  </si>
  <si>
    <t>Floresta Ombrófila Mista</t>
  </si>
  <si>
    <t>PM 2014</t>
  </si>
  <si>
    <t>Floresta Ombrófila Mista com Araucárias
Rio das Antas</t>
  </si>
  <si>
    <t>Realizar o monitoramento da biodiversidade
Realizar a fiscalização
Garantir infraestrutura para realização das atividades</t>
  </si>
  <si>
    <t>Herpailurus yagouaroundi
Leopardus guttulus
Leopardus wiedii</t>
  </si>
  <si>
    <t>NGI Campos Gerais</t>
  </si>
  <si>
    <t>0000.00.0131</t>
  </si>
  <si>
    <t>Piraí do Sul</t>
  </si>
  <si>
    <t>Espécies ameaçadas da flora (araucária, imbuia, xaxim, etc.) e da fauna (tamanduá-bandeira, veado mateiro, bugio, etc.)</t>
  </si>
  <si>
    <t>Myrmecophaga tridactyla (Tamanduá-bandeira), Alouatta guariba (Bugio), Mazama americana (veado mateiro)</t>
  </si>
  <si>
    <t>Realizar o monitoramento da biodiversidade
Gerir atividades de pesquisa e gestão do conhecimento</t>
  </si>
  <si>
    <t>Alouatta guariba
Mazama americana
Myrmecophaga tridactyla</t>
  </si>
  <si>
    <t>0000.00.0277</t>
  </si>
  <si>
    <t>Castro, Carambeí, Ponta Grossa</t>
  </si>
  <si>
    <t>Floresta Ombrófila Mista, remanescentes de cerrado, Savana.</t>
  </si>
  <si>
    <t>Campos sulinos
Mata com araucária
Espécies da flora ameaçadas - Araucaria angustifolia, Campomanesia pubescens, Halimium brasiliense, Mandevilla coccinea, e Ruellia multifolia, Parodia
Espécies da fauna ameaçadas - Myrmecophaga  tridactyla, Puma concolor, Chrysocyon brachyurus, Cuniculus paca, Tayassu pecarí,  Mazama nana, Blastoceru</t>
  </si>
  <si>
    <t xml:space="preserve">Myrmecophaga tridactyla (Tamanduá-bandeira), Puma concolor (Leão-baio), Chrysocyon brachyurus (Lobo-guará), Tayassu pecari (Queixada), Mazama nana (Veado-anão), Blastocerus dichotomus (Cervo-de-pantanal)
</t>
  </si>
  <si>
    <t>Caça, disseminação de espécie exótica (Javali)</t>
  </si>
  <si>
    <t>Gerir atividades de pesquisa e gestão do conhecimento
Gerir Conhecimento (SISBIO)
Realizar a fiscalização</t>
  </si>
  <si>
    <t>Brachyteles arachnoides
Chrysocyon brachyurus
Cnesterodon iguape
Herpailurus yagouaroundi
Leopardus guttulus
Leopardus wiedii
Mazama nana
Myrmecophaga tridactyla
Sporophila melanogaster</t>
  </si>
  <si>
    <t>Blastocerus dichotomus
Chrysocyon brachyurus
Cuniculus paca
Mazama nana
Myrmecophaga tridactyla
Puma concolor
Tayassu pecari</t>
  </si>
  <si>
    <t>Possuem Guia para pesquisas</t>
  </si>
  <si>
    <t>0000.00.0276</t>
  </si>
  <si>
    <t>Ipiranga, Teixeira Soares, Imbituva</t>
  </si>
  <si>
    <t>Remanescentes de Floresta Ombrófila, Floresta Estacional Decidual e a Floresta Ombrófila Mista
Montana, em alguns locais em transição com Estepe Gramíneo-Lenhosa e várzeas.</t>
  </si>
  <si>
    <t>Floresta Ombrófila Mista com Araucária
Fauna - Pantera onça, quatis, mão pelada, pacas, cutias, entre outros...</t>
  </si>
  <si>
    <t>Panthera onca (onça-pintada)</t>
  </si>
  <si>
    <t>Espécie exótica JAVALI e presença de caçadores do mesmo. utilização de cães de caça. falta de métodos de controle eficiente.</t>
  </si>
  <si>
    <t>Realizar a fiscalização
Planejar ações de manejo de espécies ou habitats
Realizar a regularização fundiária em imóveis privados
Gerir Conhecimento (SISBIO)</t>
  </si>
  <si>
    <t>Herpailurus yagouaroundi
Leopardus guttulus</t>
  </si>
  <si>
    <t>Panthera onca</t>
  </si>
  <si>
    <t>0000.00.0077</t>
  </si>
  <si>
    <t>Campo Largo</t>
  </si>
  <si>
    <t>Floresta com Araucária</t>
  </si>
  <si>
    <t>PM 2019</t>
  </si>
  <si>
    <t>Floresta com araucária.
Fauna silvestre
Espécies nativas para produção de sementes e mudas.</t>
  </si>
  <si>
    <t>Espécies exóticas e espécies exóticas invasoras. Tanto referente aos plantios de exóticas existentes quanto a invasão em outras áreas da UC por espécies como o lírio-do-brejo e a uva-do-japão.
Registros de atividade de caça em diversos pontos do território da UC.</t>
  </si>
  <si>
    <t>Realizar o monitoramento para proteção ambiental
Realizar a fiscalização
Gerir atividades de pesquisa e gestão do conhecimento</t>
  </si>
  <si>
    <t>Myrmecophaga tridactyla</t>
  </si>
  <si>
    <t>NGI Curitiba</t>
  </si>
  <si>
    <t>Maria Carolina Portes</t>
  </si>
  <si>
    <t>maria-carolina.portes@icmbio.gov.br</t>
  </si>
  <si>
    <t>0000.00.3137</t>
  </si>
  <si>
    <t>Guaratuba, Morretes, São José dos Pinhais</t>
  </si>
  <si>
    <t>Floresta Ombrófila Densa e Floresta Ombrófila Mista</t>
  </si>
  <si>
    <t>PM 2024</t>
  </si>
  <si>
    <t>Grandes mamíferos (anta, queixada, onça pintada)
Palmeiras - jussara e guaricana</t>
  </si>
  <si>
    <t>Tayassu pecari (Queixada), Tapirus terrestris (Anta), Panthera onca (onça-pintada)</t>
  </si>
  <si>
    <t>Caça, tráfico de animais silvestres, perda de habitat</t>
  </si>
  <si>
    <t>Realizar o monitoramento para proteção ambiental
Realizar a fiscalização
Gerir atividades de pesquisa e gestão do conhecimento
Contextualizar a Interface Territorial</t>
  </si>
  <si>
    <t>Panthera onca
Tapirus terrestris
Tayassu pecari</t>
  </si>
  <si>
    <t>0000.00.0001</t>
  </si>
  <si>
    <t>Governador Celso Ramos (21,04 %, sem incluir a área marinha)</t>
  </si>
  <si>
    <t>Zona Costeira e Marinha e Bioma Mata
Atlântica.</t>
  </si>
  <si>
    <t>Criadouros de peixes Teleósteos, Moluscos Cephalópodes (lulas) e Crustáceos Decapodas (camarões)
Floresta Ombrófila Densa
Sotalia guianensis
Manguezais remanescentes e ressurgentes</t>
  </si>
  <si>
    <r>
      <rPr>
        <i/>
        <sz val="10"/>
        <color rgb="FF000000"/>
        <rFont val="Calibri"/>
        <family val="2"/>
        <scheme val="minor"/>
      </rPr>
      <t>Sotalia guianensis</t>
    </r>
    <r>
      <rPr>
        <sz val="10"/>
        <color rgb="FF000000"/>
        <rFont val="Calibri"/>
        <family val="2"/>
        <scheme val="minor"/>
      </rPr>
      <t xml:space="preserve"> (Boto-cinza)</t>
    </r>
  </si>
  <si>
    <t>Pesca ilegal e lançamento de esgoto.
Introdução de espécies exóticas invasoras. Corte ilegal. Ocupação irregular.
Pesca incidental. Poluição. Depleção dos estoques pesqueiros. Turismo.
Corte ilegal. Aterramento. Ocupação irregular.</t>
  </si>
  <si>
    <t>Realizar o monitoramento da biodiversidade
Realizar a fiscalização
Gerir atividades de pesquisa e gestão do conhecimento</t>
  </si>
  <si>
    <t>Genidens barbus
Pogonias courbina
Pontoporia blainvillei
Sotalia guianensis
Sympterygia acuta
Sympterygia bonapartii
Tursiops gephyreus
Zapteryx brevirostris</t>
  </si>
  <si>
    <t>Caretta caretta
Eubalaena australis
Phylloscartes kronei
Pontoporia blainvillei
Sotalia guianensis</t>
  </si>
  <si>
    <t>NGI Florianópolis</t>
  </si>
  <si>
    <t>Diana Floriani</t>
  </si>
  <si>
    <t>diana.floriani@icmbio.gov.br</t>
  </si>
  <si>
    <t>0000.00.0052</t>
  </si>
  <si>
    <t>Florianópolis</t>
  </si>
  <si>
    <t>Vegetação de Manguezal e de Restinga</t>
  </si>
  <si>
    <t>PM 2011</t>
  </si>
  <si>
    <t>Bagre Branco e burriquete - sobrepesca em toda região Sul do país. Cuíca da cauda grossa - atropelamento na ESEC. Tié-sangue - tráfico.</t>
  </si>
  <si>
    <t>Calidris canutus
Calidris pusilla
Lutjanus cyanopterus
Pontoporia blainvillei
Sterna hirundinacea
Thalasseus maximus</t>
  </si>
  <si>
    <t>Calidris canutus
Calidris pusilla
Genidens barbus
Pogonias cromis
Sporophila frontalis
Sterna hirundinacea
Thalasseus acuflavidus
Thalasseus maximus</t>
  </si>
  <si>
    <t>0000.00.0214</t>
  </si>
  <si>
    <t>Florianópolis, Governador Celso Ramos</t>
  </si>
  <si>
    <t>Fragmento insular da Floresta Ombrófila Densa Submontana e porção, em seu limite austral da Província Biogeográfica Temperada Quente</t>
  </si>
  <si>
    <t>Banco de algas calcárias
Elementos da fauna com distribuição pontual (6 espécies de algas  com o primeiro registro para o litoral brasileiro)
Elementos da fauna com distribuição bastante restrita (21 espécies  de esponjas e uma espécie de anfíbio)
Banco genético representativo da fauna e flora marinha regional
Elementos da fauna ainda não descritas para a ciência
Áreas de nidificação, pouso e alimentação de aves marinhas
Espécies ameaçadas de extinção</t>
  </si>
  <si>
    <t>Fundeio.
Pesca irregular. Especies exoticas invasoras.
Residuos solidos. Contaminacao por patogenos em areas do entorno.
Sterna sp.; Larus dominicanus; Sula leucogaster; Fregata magnificens.
Pesca ilegal. Residuos solidos.
Epinephelus itajaramero; Epinephelus niveatus; Lutjanus analis; Holacanthus ciliaris; Holacanthus tricolor; Chelonia mydas; Eretmochelys imbricata.</t>
  </si>
  <si>
    <t>Realizar o monitoramento da biodiversidade
Realizar a fiscalização
Implementar o manejo de espécies ou habitats
Gerir atividades de pesquisa e gestão do conhecimento</t>
  </si>
  <si>
    <t>Astropecten brasiliensis
Atlantoraja castelnaui
Atlantoraja cyclophora
Carcharhinus leucas
Carcharhinus plumbeus
Carcharias taurus
Coscinasterias tenuispina
Diomedea epomophora
Elacatinus figaro
Epinephelus itajara
Epinephelus marginatus
Epinephelus morio
Eretmochelys imbricata
Galeorhinus galeus
Genidens barbus
Gymnura altavela
Hyporthodus niveatus
Luidia senegalensis
Lutjanus cyanopterus
Lytechinus variegatus
Mycteroperca bonaci
Mycteroperca interstitialis
Myliobatis freminvillei
Myliobatis goodei
Notorynchus cepedianus
Oreaster reticulatus
Physeter macrocephalus
Pogonias courbina
Pontoporia blainvillei
Procellaria aequinoctialis
Pseudobatos horkelii
Pterodroma incerta
Rioraja agassizii
Scarus trispinosus
Scarus zelindae
Sparisoma axillare
Sparisoma frondosum
Sphyrna lewini
Sphyrna zygaena
Squatina argentina
Squatina guggenheim
Squatina occulta
Sterna hirundinacea
Sympterygia acuta
Sympterygia bonapartii
Thalassarche chlororhynchos
Thalasseus maximus
Zapteryx brevirostris</t>
  </si>
  <si>
    <t>Astropecten brasiliensis
Astropecten marginatus
Atlantoraja castelnaui
Atlantoraja cyclophora
Calidris canutus
Coscinasterias tenuispina
Dermochelys coriacea
Diomedea dabbenena
Diomedea exulans
Epinephelus itajara
Epinephelus marginatus
Epinephelus morio
Eretmochelys imbricata
Eubalaena australis
Euvola ziczac
Gymnura altavela
Hippocampus erectus
Hippocampus reidi
Hypanus americanus
Hyporthodus niveatus
Ischnocnema manezinho
Lepidochelys olivacea
Luidia senegalensis
Lutjanus cyanopterus
Lytechinus variegatus
Mustelus schmitti
Mycteroperca bonaci
Mycteroperca interstitialis
Narcine brasiliensis
Oreaster reticulatus
Pontoporia blainvillei
Procellaria aequinoctialis
Pseudobatos horkelii
Pterodroma incerta
Rioraja agassizii
Scarus trispinosus
Scarus zelindae
Sparisoma axillare
Sparisoma frondosum
Squatina guggenheim
Sterna hirundinacea
Sympterygia acuta
Sympterygia bonapartii
Thalassarche chlororhynchos
Thalasseus acuflavidus
Thalasseus maximus
Zapteryx brevirostris</t>
  </si>
  <si>
    <t>0000.00.0255</t>
  </si>
  <si>
    <t>RESEX</t>
  </si>
  <si>
    <t>Manguezal, marinho-costeiro: composta principalmente por vegetação de manguezal,  predominância de mangue-preto ou siriúba (Avicennia schaueriana). Ocorrem em menor quantidade, as espécies de mangue branco (Laguncularia racemosa) e o mangue-vermelho, sapateiro ou laçu (Rhizophora mangle).</t>
  </si>
  <si>
    <t>Recursos pesqueiros
Baixios</t>
  </si>
  <si>
    <t>Possibilidade de despejo de efluentes da ETE Campeche; sobreposição de áreas de pesca com influência nos recursos (berbigão e camarão); resíduos sólidos.</t>
  </si>
  <si>
    <t>Planejar ações de manejo de espécies ou habitats
Implementar ações voltadas ao manejo de fauna e pesca
Realizar a fiscalização
Manter a rotina administrativa
Gerir atividades de pesquisa e gestão do conhecimento</t>
  </si>
  <si>
    <t>Eubalaena australis
Galeorhinus galeus
Genidens barbus
Notorynchus cepedianus
Physeter macrocephalus
Pogonias courbina
Pontoporia blainvillei
Pseudobatos horkelii
Thalasseus maximus</t>
  </si>
  <si>
    <t>0000.00.0045</t>
  </si>
  <si>
    <t>ARIE</t>
  </si>
  <si>
    <t>Vitor Meireles, Santa Terezinha</t>
  </si>
  <si>
    <t>Floresta Ombrófila Densa, Floresta Ombrófila Mista</t>
  </si>
  <si>
    <t>Espécies ameaçadas da flora: araucária; cedro; canela-sassafrás; canela-preta; juçara e xaxim.
Flora, preservando, assim, também, o fenômeno de transição de Floresta Ombrófila Mista e Floresta Ombrófila Densa, conforme descrito no Decreto.
Fauna: papagaio-do-peito-roxo; pimentão; gavião-pombo-pequeno; jaguatirica; gato-do-mato-pequeno; gato-mourisco; bugio; macaco-prego, entre outros.</t>
  </si>
  <si>
    <t>Alouatta guariba
Amadonastur lacernulatus
Amazona vinacea
Herpailurus yagouaroundi
Leopardus guttulus
Leopardus pardalis
Sapajus cay</t>
  </si>
  <si>
    <t>NGI Ibirama</t>
  </si>
  <si>
    <t>0000.00.0093</t>
  </si>
  <si>
    <t>Ibirama, Ascurra, Apiúna</t>
  </si>
  <si>
    <t>A vegetação do local pertence à Formação Floresta Ombró la Densa, dividida em Montana e Submontana.</t>
  </si>
  <si>
    <t>PM 2008</t>
  </si>
  <si>
    <t>Espécies da Fauna ameaçadas - Puma, Jaguatirica, Gato-mourisco, Gato-do-mato, Lontra, Veado-anão, Bugio, gavião-pombo-pequeno e outros
Fauna em geral - Cateto, tatus, quati, macaco-prego, veado-mateiro, capivara, aves em geral, répteis, anfíbios e peixes.
Espécies da Flora ameaçadas (Palmito-Juçara, Canela-sassafrás, Canela-preta, Cedro, Xaxim e Araucária)</t>
  </si>
  <si>
    <t>Amadonastur lacernulatus (gavião-pombo-pequeno), Leopardus guttulus (Gato do Mato Pequeno), Leopardus pardalis (Jaguatirica), Herpailurus yagouaroundi (mourisco), Alouatta guariba (Bugio), Mazama nana (Veado-anão)</t>
  </si>
  <si>
    <t>Caça e fragmentação da floresta no entorno da UC, para as espécies que tem uma área de vida maior</t>
  </si>
  <si>
    <t>Realizar o monitoramento da biodiversidade
Realizar a fiscalização
Gerir atividades de pesquisa e gestão do conhecimento
Realizar o monitoramento para proteção ambiental</t>
  </si>
  <si>
    <t>Alouatta guariba
Amadonastur lacernulatus
Herpailurus yagouaroundi
Leopardus guttulus
Leopardus pardalis
Mazama nana</t>
  </si>
  <si>
    <t>0000.00.0164</t>
  </si>
  <si>
    <t>Morretes, Paranaguá, Matinhos, Guaratuba</t>
  </si>
  <si>
    <t>Floresta Ombrófila Densa
Fauna
Campos de altitude</t>
  </si>
  <si>
    <t>Caça; fauna exótica atacando fauna silvestre na borda de contato com a zona urbana e em moradias esparsas no interior do Parque.</t>
  </si>
  <si>
    <t>Realizar a fiscalização
Gerir Conhecimento (SISBIO)
Comunicar e divulgar por meio das redes sociais</t>
  </si>
  <si>
    <t>Amadonastur lacernulatus
Calidris subruficollis
Formicivora acutirostris
Hemitriccus kaempferi
Platyrinchus leucoryphus
Sporophila frontalis
Tapirus terrestris
Tayassu pecari
Thalasseus maximus
Tigrisoma fasciatum
Touit melanonotus</t>
  </si>
  <si>
    <t>Amazona brasiliensis
Phylloscartes kronei
Puma concolor
Stymphalornis acutirostris
Tigrisoma fasciatum</t>
  </si>
  <si>
    <t>NGI Matinhos</t>
  </si>
  <si>
    <t>0000.00.2874</t>
  </si>
  <si>
    <t>Pontal do Paraná</t>
  </si>
  <si>
    <t>Costão Rochoso, recifes naturais e artificiais.</t>
  </si>
  <si>
    <t>Ecossistema insular
Fauna marinha, destacando-se as espécies ameaçadas de peixes
Ambiente marinho
Avifauna</t>
  </si>
  <si>
    <t>Espécies ameaçadas de peixes</t>
  </si>
  <si>
    <t>Pesca amadora e profissional
Resíduos sólidos diversos, manchas de óleo e outros poluentes oriundos de embarcações, resíduos da pesca amadora e profissional no interior e entorno e da pesca fantasma</t>
  </si>
  <si>
    <t>Realizar a fiscalização
Implementar ações voltadas ao manejo de fauna e pesca
Garantir transporte para realização das atividades
Realizar o monitoramento para proteção ambiental
Gerir Conhecimento (SISBIO)</t>
  </si>
  <si>
    <t>Epinephelus marginatus
Epinephelus morio
Gymnura altavela
Hyporthodus nigritus
Hyporthodus niveatus
Lytechinus variegatus
Mycteroperca bonaci
Pseudobatos percellens
Sparisoma axillare
Sterna hirundinacea</t>
  </si>
  <si>
    <t>0000.00.0261</t>
  </si>
  <si>
    <t>Abelardo Luz, Clevelândia, Palmas</t>
  </si>
  <si>
    <t>Plano de Ação para Conservação de 2009 e Plano de Proteção de 2013</t>
  </si>
  <si>
    <t>Estabelecimento de marco infralegal visando ordenamento territorial
Fragmento da paisagem regional de floresta ombrófila mista
Últimos remanescentes regionais de floresta ombrófila mista</t>
  </si>
  <si>
    <t>Fragmentação da paisagem, caça, espécies exóticas invasoras e agricultura</t>
  </si>
  <si>
    <t>Realizar a fiscalização
Implementar ações de Educação Ambiental
Elaborar Plano de Manejo
Realizar o monitoramento da biodiversidade
Realizar a regularização fundiária em imóveis privados</t>
  </si>
  <si>
    <t>Amazona vinacea
Herpailurus yagouaroundi
Leopardus guttulus
Mazama nana</t>
  </si>
  <si>
    <t>Amazona vinacea
Leopardus colocolo
Leopardus pardalis
Leopardus tigrinus
Mazama nana
Puma concolor</t>
  </si>
  <si>
    <t>NGI Palmas</t>
  </si>
  <si>
    <t>0000.00.0262</t>
  </si>
  <si>
    <t>Passos Maia, Ponte Serrada</t>
  </si>
  <si>
    <t>Floresta Ombrófila Mista, Floresta Estacional Decidual e a Floresta Ombrófila Mista Montana, em alguns locais em transição com Estepe Gramíneo-Lenhosa.</t>
  </si>
  <si>
    <t>PM 2010</t>
  </si>
  <si>
    <t>Reintrodução do papagio do peito roxona região oeste de santa catarina tendo  a uc como local de soltura
Um dos maiores remanescentes de Floresta Ombrófila Mista e ambientes associados  no oeste de Santa Catarina
Integridade da biota expostas a riscos advindo do potecial invasor das espécies</t>
  </si>
  <si>
    <r>
      <rPr>
        <i/>
        <sz val="10"/>
        <color rgb="FF000000"/>
        <rFont val="Calibri"/>
        <family val="2"/>
        <scheme val="minor"/>
      </rPr>
      <t>Amazona vinacea</t>
    </r>
    <r>
      <rPr>
        <sz val="10"/>
        <color rgb="FF000000"/>
        <rFont val="Calibri"/>
        <family val="2"/>
        <scheme val="minor"/>
      </rPr>
      <t xml:space="preserve"> (Papagaio-do-peito-roxo)</t>
    </r>
  </si>
  <si>
    <t>Fatores Naturais/Seminaturais
plantio de exóticas, agricultura, cascalheira, javali e empreendimentos</t>
  </si>
  <si>
    <t>Realizar a fiscalização
Planejar ações de manejo de espécies ou habitats
Implementar ações de Educação Ambiental
Gerir atividades de pesquisa e gestão do conhecimento
Planejar o uso público
Elaborar e distribuir os materiais de comunicação</t>
  </si>
  <si>
    <t>Amazona vinacea
Celeus galeatus
Chrysocyon brachyurus
Herpailurus yagouaroundi
Leopardus guttulus
Leopardus wiedii</t>
  </si>
  <si>
    <t>Amazona vinacea
Celeus galeatus
Chrysocyon brachyurus
Leopardus pardalis
Puma concolor</t>
  </si>
  <si>
    <t>0000.00.0278</t>
  </si>
  <si>
    <t>General Carneiro, Palmas, Água Doce</t>
  </si>
  <si>
    <t>Mata Atlântica: Estepe stricto sensu (campo limpo); Estepe Higrófila (campo úmido); Refúgios Vegetacionais Rupestres; Formações Pioneiras de Influência Fluvial; Floresta Ombrófila Mista Montana; Floresta Ombrófila Mista dos Capões, e; Floresta Ombrófila Mista Aluvial ou Floresta de Galeria. ATIVIDADES</t>
  </si>
  <si>
    <t>Fauna ameaçada e endêmica da Mata Atlântica e ambientes campestres, como: Chrysocyon brachyurus, Myrmecophaga tridactyla, Ozotoceros bezoarticus, etc.
Campos Nativos de Altitude
Florestas Nativas</t>
  </si>
  <si>
    <t>Realizar o monitoramento da biodiversidade
Realizar a fiscalização
Avaliar impactos ambientais em processo de licenciamento ambiental
Implementar ações de Educação Ambiental</t>
  </si>
  <si>
    <t>Anthus nattereri
Heteroxolmis dominicanus
Sporophila hypoxantha
Urubitinga coronata</t>
  </si>
  <si>
    <t>Chrysocyon brachyurus
Myrmecophaga tridactyla
Ozotoceros bezoarticus</t>
  </si>
  <si>
    <t>0000.00.0050</t>
  </si>
  <si>
    <t>Muitos Capões</t>
  </si>
  <si>
    <t>Floresta ombrófila densa, floresta ombrófila mista, florestas estacionais deciduais e semidecidual. Formações campestres pertencentes à Região Fitoecológica da Estepe localizadas no Planalto Meridional Brasileiro (ou Campos Gerais).</t>
  </si>
  <si>
    <t>Patrimônio genético da UC para fins científicos.
Espécies ameaçadas: Flora - 13 espécies; Aves ( Papagaio Charão - principal) - 10 espécies; Mamíferos - 20 espécies.
Fragmento de Floresta Ombrófila Mista</t>
  </si>
  <si>
    <t>Espécies ameaçadas: Aves (Amazona pretrei (papagaio-charão) - principal) - 10 espécies; Mamíferos - 20 espécies.</t>
  </si>
  <si>
    <t>Realizar a fiscalização
Manter a rotina administrativa
Realizar o monitoramento para proteção ambiental
Implementar ações de Educação Ambiental
Gerir atividades de pesquisa e gestão do conhecimento</t>
  </si>
  <si>
    <t>Amazona pretrei
Amazona vinacea
Heteroxolmis dominicanus
Xanthopsar flavus</t>
  </si>
  <si>
    <t>Amazona pretrei</t>
  </si>
  <si>
    <t>NGI Passo Fundo</t>
  </si>
  <si>
    <t>0000.00.0130</t>
  </si>
  <si>
    <t>Mato Castelhano</t>
  </si>
  <si>
    <t>Área de Transição Estépica e Floresta Ombrófila Mista.</t>
  </si>
  <si>
    <t>PM 2012</t>
  </si>
  <si>
    <t>Conservação da espécies da fauna ameaçadas de extinção e endêmicas.
Conservação das espécies da flora ameaçadas de extinção e endêmicas: Araucaria (Araucaria angustifolia) Xaxim-bugio (Dicksonia sellowiana).
Patrimônio genético da UC para fins científicos.</t>
  </si>
  <si>
    <t>Espécies da fauna ameaçadas de extinção e endêmicas</t>
  </si>
  <si>
    <t>Falta de controle do javali e java-porco, além de cães e gatos abandonados na Flona.</t>
  </si>
  <si>
    <t>Realizar a fiscalização
Planejar o uso público
Gerir atividades de pesquisa e gestão do conhecimento</t>
  </si>
  <si>
    <t>Amazona pretrei
Herpailurus yagouaroundi
Leopardus guttulus</t>
  </si>
  <si>
    <t>0000.00.0025</t>
  </si>
  <si>
    <t>Jateí, Mundo Novo, Eldorado,Taquarussu, Itaquari, Guaíra, Diamante do Norte, Nova Andradina, Batayporã, Rosana, Terra Roxa, Altônia, Marilena, Porto Rico, Querência do Norte, Ivaté, Santa Cruz de Monte Castelo.</t>
  </si>
  <si>
    <t xml:space="preserve">    Floresta Estacional Semidecidual, Formações Pioneiras, Contato Savana-Floresta Estacional</t>
  </si>
  <si>
    <t>Em projeto (02070.005985/2023-66)</t>
  </si>
  <si>
    <t>Mamíferos ameaçados de extinção (onça pintada)
Recursos pesqueiros 
Remanescentes de Vegetação Nativa</t>
  </si>
  <si>
    <r>
      <rPr>
        <i/>
        <sz val="10"/>
        <color rgb="FF000000"/>
        <rFont val="Calibri"/>
        <family val="2"/>
        <scheme val="minor"/>
      </rPr>
      <t>Panthera onca</t>
    </r>
    <r>
      <rPr>
        <sz val="10"/>
        <color rgb="FF000000"/>
        <rFont val="Calibri"/>
        <family val="2"/>
        <scheme val="minor"/>
      </rPr>
      <t xml:space="preserve"> (onça-pintada)</t>
    </r>
  </si>
  <si>
    <t>Caça; Fragmentação de habitat; Atropelamento.Javali.
Efeito deletério das barragens; Introdução de espécies exóticas e alóctones invasoras; Pesca predatória.
Desmatamento; Ocupação irregular em APP.</t>
  </si>
  <si>
    <t>Realizar a fiscalização
Elaborar Plano de Manejo</t>
  </si>
  <si>
    <t>Alouatta caraya
Blastocerus dichotomus
Brycon orbignyanus
Leopardus pardalis
Lontra longicaudis
Panthera onca
Tapirus terrestris</t>
  </si>
  <si>
    <t>NGI Rio Paraná</t>
  </si>
  <si>
    <t>0000.00.0161</t>
  </si>
  <si>
    <t>Mundo Novo, Eldorado, Naviraí, Itaquiraí, Altônia, São Jorge do Patrocínio, Alto Paraíso, Guaíra, Icaraíma</t>
  </si>
  <si>
    <t>Várzeas do Rio Paraná (Formação Pioneira de Influência Flúvio-lacustre) / Floresta Estacional
Semidecidual</t>
  </si>
  <si>
    <t>Formação pioneira com influência flúvio-lacustre
Floresta estacional semidecidual aluvial
Espécies nativas, endêmica raras e/ou ameaçadas de extinção (flora)
Espécies nativas, endêmica raras e/ou ameaçadas de extinção (fauna)</t>
  </si>
  <si>
    <t>espécies nativas, endêmica raras e/ou ameaçadas de extinção</t>
  </si>
  <si>
    <t>Construções irregulares, abertura de roça. Abelha africanizada (apis mellifera)  e introdução de espécie exótica. Possível retomada (ilhéus).
Caça. Incêndios. Pesca em Lagoas. Retirada de iscas. Introdução de EEI.</t>
  </si>
  <si>
    <t>Realizar ações de Manejo Integrado do Fogo
Realizar a fiscalização
Gerir atividades de pesquisa e gestão do conhecimento</t>
  </si>
  <si>
    <t>Aburria jacutinga
Alectrurus tricolor
Amazona vinacea
Blastocerus dichotomus
Brycon orbignyanus
Celeus galeatus
Chrysocyon brachyurus
Myrmecophaga tridactyla
Panthera onca
Pteronura brasiliensis
Sporophila hypoxantha
Sporophila maximiliani
Sporophila palustris
Sporophila ruficollis
Sternarchorhynchus britskii
Tapirus terrestris
Tayassu pecari</t>
  </si>
  <si>
    <t>Aburria jacutinga
Alectrurus tricolor
Amazona vinacea
Blastocerus dichotomus
Brycon orbignyanus
Leopardus colocolo
Leopardus pardalis
Myotis ruber
Myrmecophaga tridactyla
Panthera onca
Pteronura brasiliensis
Puma concolor
Steindachneridion scriptum
Sternarchorhynchus britskii</t>
  </si>
  <si>
    <t>Informação detalhada na aba "Espécies em PAN".</t>
  </si>
  <si>
    <t>Espécie</t>
  </si>
  <si>
    <t>Nome comum</t>
  </si>
  <si>
    <t>Categoria de risco</t>
  </si>
  <si>
    <t>Observação/Para verificar no SALVE</t>
  </si>
  <si>
    <t>Projeto (título)</t>
  </si>
  <si>
    <t>Ação do Plano de Manejo vinculada</t>
  </si>
  <si>
    <t>Localidade</t>
  </si>
  <si>
    <t>Coordenadas (lat)</t>
  </si>
  <si>
    <t>Coordenadas (long)</t>
  </si>
  <si>
    <t>Data início</t>
  </si>
  <si>
    <t>Data fim</t>
  </si>
  <si>
    <t>Executor</t>
  </si>
  <si>
    <t>Instituição</t>
  </si>
  <si>
    <t>Parcerias</t>
  </si>
  <si>
    <t>Licença SISBIO</t>
  </si>
  <si>
    <t>gov.br dez/2024</t>
  </si>
  <si>
    <t>Caretta caretta</t>
  </si>
  <si>
    <t>Sim</t>
  </si>
  <si>
    <t>Tartarugas marinhas (Testudines) e a interação com a pesca na Área de Proteção Ambiental da Baleia Franca, litoral centro-sul de Santa Catarina, Brasil</t>
  </si>
  <si>
    <t>APA Baleia Franca</t>
  </si>
  <si>
    <t>Deisi Cristiane Balensiefer (analista) - projeto de doutorado</t>
  </si>
  <si>
    <t>Vigente</t>
  </si>
  <si>
    <t>02127.002958/2020-96</t>
  </si>
  <si>
    <t>Chelonia mydas</t>
  </si>
  <si>
    <t>Eubalaena australis</t>
  </si>
  <si>
    <t>Pontoporia blainvillei</t>
  </si>
  <si>
    <t>Brycon orbignyanus</t>
  </si>
  <si>
    <t>APA das Ilhas e Várzeas do Rio Paraná</t>
  </si>
  <si>
    <t>Blastocerus dichotomus</t>
  </si>
  <si>
    <t>Alouatta caraya</t>
  </si>
  <si>
    <t>Citada pela UC como Alouatta fusca</t>
  </si>
  <si>
    <t>Lontra longicaudis</t>
  </si>
  <si>
    <t>Tapirus terrestris</t>
  </si>
  <si>
    <t>Leopardus pardalis</t>
  </si>
  <si>
    <t>Sotalia guianensis</t>
  </si>
  <si>
    <t>Não</t>
  </si>
  <si>
    <t>Phylloscartes kronei</t>
  </si>
  <si>
    <t>Aburria jacutinga</t>
  </si>
  <si>
    <t>APA de Guaraqueçaba</t>
  </si>
  <si>
    <t>Amazona brasiliensis</t>
  </si>
  <si>
    <t>Amadonastur lacernulatus</t>
  </si>
  <si>
    <t>Carpornis melanocephala</t>
  </si>
  <si>
    <t>Paraclaravis geoffroyi</t>
  </si>
  <si>
    <t>Citada pela UC com o nome antigo Claravis godefrida</t>
  </si>
  <si>
    <t>Elacatinus figaro</t>
  </si>
  <si>
    <t>Leontopithecus caissara</t>
  </si>
  <si>
    <t>Tigrisoma fasciatum</t>
  </si>
  <si>
    <t>SAMGe 2023</t>
  </si>
  <si>
    <t>Ucides cordatus</t>
  </si>
  <si>
    <t>Lamproscapha ensiformis</t>
  </si>
  <si>
    <t>Citada pela UC como ameaçada; Não consta em UC do Sul no SALVE</t>
  </si>
  <si>
    <t>APA do Ibirapuitã</t>
  </si>
  <si>
    <t>Mycetopoda siliquosa</t>
  </si>
  <si>
    <t>Mycetopoda legumen</t>
  </si>
  <si>
    <t>ARIE Serra da Abelha</t>
  </si>
  <si>
    <t>Herpailurus yagouaroundi</t>
  </si>
  <si>
    <t>Alouatta guariba</t>
  </si>
  <si>
    <t>Sapajus cay</t>
  </si>
  <si>
    <t>ESEC Aracuri-Esmeralda</t>
  </si>
  <si>
    <t>ESEC da Mata Preta</t>
  </si>
  <si>
    <t>Leopardus tigrinus</t>
  </si>
  <si>
    <t>Citada pela UC, mas não consta ocorrência no Sul no SALVE</t>
  </si>
  <si>
    <t>Leopardus colocolo</t>
  </si>
  <si>
    <t>Citada pela UC com nome antigo Oncifelis colocolo</t>
  </si>
  <si>
    <t>Puma concolor</t>
  </si>
  <si>
    <r>
      <rPr>
        <sz val="11"/>
        <color rgb="FF000000"/>
        <rFont val="Calibri"/>
        <family val="2"/>
        <scheme val="minor"/>
      </rPr>
      <t>Citada pela UC</t>
    </r>
    <r>
      <rPr>
        <i/>
        <sz val="11"/>
        <color rgb="FF000000"/>
        <rFont val="Calibri"/>
        <family val="2"/>
        <scheme val="minor"/>
      </rPr>
      <t xml:space="preserve"> Puma concolor capricornensis</t>
    </r>
  </si>
  <si>
    <t>Mazama nana</t>
  </si>
  <si>
    <t>Sporophila frontalis</t>
  </si>
  <si>
    <t>ESEC de Carijós</t>
  </si>
  <si>
    <t>Calidris canutus</t>
  </si>
  <si>
    <t>Calidris pusilla</t>
  </si>
  <si>
    <t>Sterna hirundinacea</t>
  </si>
  <si>
    <t>Thalasseus acuflavidus</t>
  </si>
  <si>
    <t>Thalasseus maximus</t>
  </si>
  <si>
    <t>Genidens barbus</t>
  </si>
  <si>
    <t>Pogonias cromis</t>
  </si>
  <si>
    <t>ESEC de Guaraqueçaba</t>
  </si>
  <si>
    <t>Eudocimus ruber</t>
  </si>
  <si>
    <t>Epinephelus itajara</t>
  </si>
  <si>
    <t>Cyanocorax caeruleus</t>
  </si>
  <si>
    <t>FLONA de Caçador</t>
  </si>
  <si>
    <t>FLONA de Canela</t>
  </si>
  <si>
    <t>Citada pela UC, mas não consta no SALVE</t>
  </si>
  <si>
    <t>Dasyprocta azarae</t>
  </si>
  <si>
    <t>Nasua nasua</t>
  </si>
  <si>
    <t>Puma yagouaroundi</t>
  </si>
  <si>
    <t>Escrito errado no Gov (Puma yaguarondi)</t>
  </si>
  <si>
    <t>Rectartemon depressus</t>
  </si>
  <si>
    <t>FLONA de Chapecó</t>
  </si>
  <si>
    <t>Cerdocyon thous</t>
  </si>
  <si>
    <t>FLONA de Ibirama</t>
  </si>
  <si>
    <t>Citada pela UC como espécie ameaçada.</t>
  </si>
  <si>
    <t>FLONA de Passo Fundo</t>
  </si>
  <si>
    <t>FLONA de Piraí do Sul</t>
  </si>
  <si>
    <t>Mazama americana</t>
  </si>
  <si>
    <t>FLONA de São Francisco de Paula</t>
  </si>
  <si>
    <t>Chrysocyon brachyurus</t>
  </si>
  <si>
    <r>
      <rPr>
        <i/>
        <sz val="11"/>
        <color rgb="FF000000"/>
        <rFont val="Calibri"/>
        <family val="2"/>
        <scheme val="minor"/>
      </rPr>
      <t>Leopardus pardalis mitis</t>
    </r>
    <r>
      <rPr>
        <sz val="11"/>
        <color rgb="FF000000"/>
        <rFont val="Calibri"/>
        <family val="2"/>
        <scheme val="minor"/>
      </rPr>
      <t xml:space="preserve"> citada pela UC como ameaçada</t>
    </r>
  </si>
  <si>
    <t>Myotis ruber</t>
  </si>
  <si>
    <t>Citada pela UC como ameaçada</t>
  </si>
  <si>
    <t>Piprites pileata</t>
  </si>
  <si>
    <t>Urubitinga coronata</t>
  </si>
  <si>
    <t>Citada pela UC com o nome antigo Harpyhaliaetus coronatus</t>
  </si>
  <si>
    <t>Scytalopus iraiensis</t>
  </si>
  <si>
    <t>Circus cinereus</t>
  </si>
  <si>
    <t>PARNA da Lagoa do Peixe</t>
  </si>
  <si>
    <t>Larus atlanticus</t>
  </si>
  <si>
    <t>Porzana spiloptera</t>
  </si>
  <si>
    <t>Calidris subruficollis</t>
  </si>
  <si>
    <t>Limnodromus griseus</t>
  </si>
  <si>
    <t>Numenius hudsonicus</t>
  </si>
  <si>
    <t>Conopophaga lineata</t>
  </si>
  <si>
    <t>Thamnophilus caerulescens</t>
  </si>
  <si>
    <t>PARNA da Serra do Itajaí</t>
  </si>
  <si>
    <t>Biatas nigropectus</t>
  </si>
  <si>
    <t>Leopardus wiedii</t>
  </si>
  <si>
    <t>Puma concolor capricornensis</t>
  </si>
  <si>
    <t>PARNA da Serra Geral</t>
  </si>
  <si>
    <t>Mimagoniates rheocharis</t>
  </si>
  <si>
    <t>Melanophryniscus macrogranulosus</t>
  </si>
  <si>
    <t>Não consta em UC do Sul no SALVE</t>
  </si>
  <si>
    <t>Corvomeyenia epilithosa</t>
  </si>
  <si>
    <t>PARNA das Araucárias</t>
  </si>
  <si>
    <t>Celeus galeatus</t>
  </si>
  <si>
    <t>Citada pela UC com o nome antigo Dryocopus galeatus</t>
  </si>
  <si>
    <t>PARNA de Aparados da Serra</t>
  </si>
  <si>
    <t>Xanthopsar flavus</t>
  </si>
  <si>
    <t>Monoeca xanthopyga</t>
  </si>
  <si>
    <t>PARNA de Ilha Grande</t>
  </si>
  <si>
    <t>Alectrurus tricolor</t>
  </si>
  <si>
    <t>Pteronura brasiliensis</t>
  </si>
  <si>
    <t>Sternarchorhynchus britskii</t>
  </si>
  <si>
    <t>Steindachneridion scriptum</t>
  </si>
  <si>
    <t>Citada pela UC, mas não consta ocorrência em UC do Sul</t>
  </si>
  <si>
    <t>PARNA de Saint-Hilaire/Lange</t>
  </si>
  <si>
    <t>Stymphalornis acutirostris</t>
  </si>
  <si>
    <t>PARNA de São Joaquim</t>
  </si>
  <si>
    <t>Citada pela UC, mas não consta no SALVE ocorrência em UCs</t>
  </si>
  <si>
    <t>Cinclodes pabsti</t>
  </si>
  <si>
    <t>Heteroxolmis dominicanus</t>
  </si>
  <si>
    <t>PARNA do Iguaçu</t>
  </si>
  <si>
    <t>Ochropyge ruficauda</t>
  </si>
  <si>
    <t>Steindachneridion melanodermatum</t>
  </si>
  <si>
    <t>PARNA do Superagui</t>
  </si>
  <si>
    <t>Crypturellus noctivagus</t>
  </si>
  <si>
    <t>Paracentrotus gaimardi</t>
  </si>
  <si>
    <t>Citada pela UC como espécie ameaçada</t>
  </si>
  <si>
    <t>PARNA dos Campos Gerais</t>
  </si>
  <si>
    <t>Cuniculus paca</t>
  </si>
  <si>
    <t>Tayassu pecari</t>
  </si>
  <si>
    <t>PARNA Guaricana</t>
  </si>
  <si>
    <t>REBIO Bom Jesus</t>
  </si>
  <si>
    <t>Speothos venaticus</t>
  </si>
  <si>
    <t>REBIO das Araucárias</t>
  </si>
  <si>
    <t>Astropecten brasiliensis</t>
  </si>
  <si>
    <t>REBIO Marinha do Arvoredo</t>
  </si>
  <si>
    <t>Astropecten marginatus</t>
  </si>
  <si>
    <t>Coscinasterias tenuispina</t>
  </si>
  <si>
    <t>Oreaster reticulatus</t>
  </si>
  <si>
    <t>Luidia senegalensis</t>
  </si>
  <si>
    <t>Lytechinus variegatus</t>
  </si>
  <si>
    <t>Euvola ziczac</t>
  </si>
  <si>
    <t>Ischnocnema manezinho</t>
  </si>
  <si>
    <t>Lepidochelys olivacea</t>
  </si>
  <si>
    <t>Eretmochelys imbricata</t>
  </si>
  <si>
    <t>Dermochelys coriacea</t>
  </si>
  <si>
    <t>Mustelus schmitti</t>
  </si>
  <si>
    <t>Epinephelus marginatus</t>
  </si>
  <si>
    <t>Epinephelus morio</t>
  </si>
  <si>
    <t>Lutjanus cyanopterus</t>
  </si>
  <si>
    <t>Scarus trispinosus</t>
  </si>
  <si>
    <t>Scarus zelindae</t>
  </si>
  <si>
    <t>Sparisoma axillare</t>
  </si>
  <si>
    <t>Sparisoma frondosum</t>
  </si>
  <si>
    <t>Hyporthodus niveatus</t>
  </si>
  <si>
    <t>Mycteroperca bonaci</t>
  </si>
  <si>
    <t>Mycteroperca interstitialis</t>
  </si>
  <si>
    <t>Hypanus americanus</t>
  </si>
  <si>
    <t>Gymnura altavela</t>
  </si>
  <si>
    <t>Atlantoraja castelnaui</t>
  </si>
  <si>
    <t>Atlantoraja cyclophora</t>
  </si>
  <si>
    <t>Rioraja agassizii</t>
  </si>
  <si>
    <t>Sympterygia acuta</t>
  </si>
  <si>
    <t>Sympterygia bonapartii</t>
  </si>
  <si>
    <t>Pseudobatos horkelii</t>
  </si>
  <si>
    <t>Zapteryx brevirostris</t>
  </si>
  <si>
    <t>Squatina guggenheim</t>
  </si>
  <si>
    <t>Hippocampus erectus</t>
  </si>
  <si>
    <t>Hippocampus reidi</t>
  </si>
  <si>
    <t>Narcine brasiliensis</t>
  </si>
  <si>
    <t>Procellaria aequinoctialis</t>
  </si>
  <si>
    <t>Thalassarche chlororhynchos</t>
  </si>
  <si>
    <t>Diomedea dabbenena</t>
  </si>
  <si>
    <t>Diomedea exulans</t>
  </si>
  <si>
    <t>Pterodroma incerta</t>
  </si>
  <si>
    <t>REVIS da Ilha dos Lobos</t>
  </si>
  <si>
    <t>Citada pela UC como ameaçada; Sem registro no SALVE</t>
  </si>
  <si>
    <t>Carcharias taurus</t>
  </si>
  <si>
    <t>Squatina occulta</t>
  </si>
  <si>
    <t>Sphyrna lewini</t>
  </si>
  <si>
    <t>Myliobatis freminvillei</t>
  </si>
  <si>
    <t>Rhincodon typus</t>
  </si>
  <si>
    <t>Arctocephalus australis</t>
  </si>
  <si>
    <t>Arctocephalus tropicalis</t>
  </si>
  <si>
    <t>Arctocephalus gazella</t>
  </si>
  <si>
    <t>Otaria flavescens</t>
  </si>
  <si>
    <t>Mirounga leonina</t>
  </si>
  <si>
    <t>Lobodon carcinophaga</t>
  </si>
  <si>
    <t>Hydrurga leptonyx</t>
  </si>
  <si>
    <t>Tursiops truncatus</t>
  </si>
  <si>
    <t>Megaptera novaeangliae</t>
  </si>
  <si>
    <t>Podicephorus major</t>
  </si>
  <si>
    <t>Charadrius semipalmatus</t>
  </si>
  <si>
    <t>Haematopus palliatus</t>
  </si>
  <si>
    <t>Arenaria interpres</t>
  </si>
  <si>
    <t>Calidris alba</t>
  </si>
  <si>
    <t>Stercorarius antarcticus</t>
  </si>
  <si>
    <t>Stercorarius chilensis</t>
  </si>
  <si>
    <t>Stercorarius parasiticus</t>
  </si>
  <si>
    <t>Chroicocephalus maculipennis</t>
  </si>
  <si>
    <t>Larus dominicanus</t>
  </si>
  <si>
    <t>Não consta no Sul no SALVE, escrito errado no gov (Larus dominicanos)</t>
  </si>
  <si>
    <t>Rynchops niger</t>
  </si>
  <si>
    <t>Sternula superciliaris</t>
  </si>
  <si>
    <t>Sterna hirundo</t>
  </si>
  <si>
    <t>Sterna trudeaui</t>
  </si>
  <si>
    <t>Spheniscus magellanicus</t>
  </si>
  <si>
    <t>Thalassarche melanophris</t>
  </si>
  <si>
    <t>Macronectes giganteus</t>
  </si>
  <si>
    <t>Ardenna grisea</t>
  </si>
  <si>
    <t>Puffinus puffinus</t>
  </si>
  <si>
    <t>Fregata magnificens</t>
  </si>
  <si>
    <t>Sula leucogaster</t>
  </si>
  <si>
    <t>Nannopterum brasilianum</t>
  </si>
  <si>
    <t>não consta no sul no SALVE</t>
  </si>
  <si>
    <t>Bubulcus ibis</t>
  </si>
  <si>
    <t>Ardea cocoi</t>
  </si>
  <si>
    <t>Egretta thula</t>
  </si>
  <si>
    <t>Coragyps atratus</t>
  </si>
  <si>
    <t>Urophycis brasiliensis</t>
  </si>
  <si>
    <t>Micropogonias furnieri</t>
  </si>
  <si>
    <t>Cynoscion guatucupa</t>
  </si>
  <si>
    <t>Cynoscion jamaicensis</t>
  </si>
  <si>
    <t>Menticirrhus gracilis</t>
  </si>
  <si>
    <t>nome antigo Menticirrhus littoralis no gov</t>
  </si>
  <si>
    <t>Menticirrhus martinicensis</t>
  </si>
  <si>
    <t>nome antigo Menticirrhus americanus no gov</t>
  </si>
  <si>
    <t>Paralonchurus brasiliensis</t>
  </si>
  <si>
    <t>Umbrina canosai</t>
  </si>
  <si>
    <t>Macrodon atricauda</t>
  </si>
  <si>
    <t>Pomatomus saltatrix</t>
  </si>
  <si>
    <t>Trichiurus lepturus</t>
  </si>
  <si>
    <t>Mugil liza</t>
  </si>
  <si>
    <t>Mugil curema</t>
  </si>
  <si>
    <t>Mugil brevirostris</t>
  </si>
  <si>
    <t>Não consta no Sul no SALVE, nome antigo no Gov (Mugil gaimardianus)</t>
  </si>
  <si>
    <t>Sardinella brasiliensis</t>
  </si>
  <si>
    <t>Brevoortia pectinata</t>
  </si>
  <si>
    <t>Harengula clupeola</t>
  </si>
  <si>
    <t>Não consta no Sul no SALVE, só ambiente marinho-costeiro</t>
  </si>
  <si>
    <t>Platanichthys platana</t>
  </si>
  <si>
    <t>Ramnogaster arcuata</t>
  </si>
  <si>
    <t>Engraulis anchoita</t>
  </si>
  <si>
    <t>Anchoa tricolor</t>
  </si>
  <si>
    <t>Anchoa marinii</t>
  </si>
  <si>
    <t>Não consta no Sul no SALVE, só ambiente marinho-costeiro, pampa e mata atlântica</t>
  </si>
  <si>
    <t>Lycengraulis grossidens</t>
  </si>
  <si>
    <t>Katsuwonus pelamis</t>
  </si>
  <si>
    <t>Odontesthes argentinensis</t>
  </si>
  <si>
    <t>Pagrus pagrus</t>
  </si>
  <si>
    <t>Genidens machadoi</t>
  </si>
  <si>
    <t xml:space="preserve"> Não consta no Sul no SALVE, só ambiente marinho-costeiro, pampa e mata atlântica</t>
  </si>
  <si>
    <t>Caranx hippos</t>
  </si>
  <si>
    <t>Peprilus xanthurus</t>
  </si>
  <si>
    <t>Stromateus brasiliensis</t>
  </si>
  <si>
    <t>Caranx latus</t>
  </si>
  <si>
    <t>Priacanthus arenatus</t>
  </si>
  <si>
    <t>Oncopterus darwini</t>
  </si>
  <si>
    <t>Microphis brachyurus</t>
  </si>
  <si>
    <t>Chaetodipterus faber</t>
  </si>
  <si>
    <t>Orthopristis ruber</t>
  </si>
  <si>
    <t>Centropomus parallelus</t>
  </si>
  <si>
    <t>REVIS dos Campos de Palmas</t>
  </si>
  <si>
    <t>Ozotoceros bezoarticus</t>
  </si>
  <si>
    <t>Nome do PAN</t>
  </si>
  <si>
    <t>Actenosigynes mantiqueirensis</t>
  </si>
  <si>
    <t>Actinote quadra</t>
  </si>
  <si>
    <t>Actinote zikani</t>
  </si>
  <si>
    <t>Adelpha atlantica</t>
  </si>
  <si>
    <t>Albinapis gracilis</t>
  </si>
  <si>
    <t>Arawacus aethesa</t>
  </si>
  <si>
    <t>Arhysoceble picta</t>
  </si>
  <si>
    <t>Arhysosage cactorum</t>
  </si>
  <si>
    <t>Arhysosage flava</t>
  </si>
  <si>
    <t>Bombus bahiensis</t>
  </si>
  <si>
    <t>Bombus bellicosus</t>
  </si>
  <si>
    <t>Centris hyptidoides</t>
  </si>
  <si>
    <t>Centris thelyopsis</t>
  </si>
  <si>
    <t>Cephalotrigona capitata</t>
  </si>
  <si>
    <t>Charonias theano</t>
  </si>
  <si>
    <t>Cunizza hirlanda fulvinota</t>
  </si>
  <si>
    <t>Cunizza hirlanda planasia</t>
  </si>
  <si>
    <t>Cyanophrys bertha</t>
  </si>
  <si>
    <t>Doxocopa zalmunna</t>
  </si>
  <si>
    <t>Drephalys miersi</t>
  </si>
  <si>
    <t>Drephalys mourei</t>
  </si>
  <si>
    <t>Epicharis minima</t>
  </si>
  <si>
    <t>Epicharis pygialis</t>
  </si>
  <si>
    <t>Episcada vitrea</t>
  </si>
  <si>
    <t>Eresia erysice erysice</t>
  </si>
  <si>
    <t>Eufriesea aeneiventris</t>
  </si>
  <si>
    <t>Eufriesea brasilianorum</t>
  </si>
  <si>
    <t>Eufriesea pyrrhopyga</t>
  </si>
  <si>
    <t>Euglossa avicula</t>
  </si>
  <si>
    <t>Euglossa botocuda</t>
  </si>
  <si>
    <t>Euglossa cyanochlora</t>
  </si>
  <si>
    <t>Euglossa decorata</t>
  </si>
  <si>
    <t>Euglossa marianae</t>
  </si>
  <si>
    <t>Eulaema felipei</t>
  </si>
  <si>
    <t>Exaerete salsai</t>
  </si>
  <si>
    <t>Exomalopsis atlantica</t>
  </si>
  <si>
    <t>Glennia pylotis</t>
  </si>
  <si>
    <t>Heliconius nattereri</t>
  </si>
  <si>
    <t>Heraclides chiansiades</t>
  </si>
  <si>
    <t>Heraclides garleppi lecerfi</t>
  </si>
  <si>
    <t>Heraclides himeros baia</t>
  </si>
  <si>
    <t>Heraclides himeros himeros</t>
  </si>
  <si>
    <t>Hexantheda missionica</t>
  </si>
  <si>
    <t>Hyalyris fiammetta</t>
  </si>
  <si>
    <t>Hypoleria fallens</t>
  </si>
  <si>
    <t>Hypoleria lavinia mulviana</t>
  </si>
  <si>
    <t>Joiceya praeclarus</t>
  </si>
  <si>
    <t>Lanthanomelissa betinae</t>
  </si>
  <si>
    <t>Lanthanomelissa clementis</t>
  </si>
  <si>
    <t>Magnastigma julia</t>
  </si>
  <si>
    <t>Mcclungia cymo fallens</t>
  </si>
  <si>
    <t>Melinaea mnasias thera</t>
  </si>
  <si>
    <t>Melipona asilvai</t>
  </si>
  <si>
    <t>Melipona bicolor</t>
  </si>
  <si>
    <t>Melipona capixaba</t>
  </si>
  <si>
    <t>Melipona fuliginosa</t>
  </si>
  <si>
    <t>Melipona mandacaia</t>
  </si>
  <si>
    <t>Melipona marginata</t>
  </si>
  <si>
    <t>Melipona mondury</t>
  </si>
  <si>
    <t>Melipona quinquefasciata</t>
  </si>
  <si>
    <t>Melipona rufiventris</t>
  </si>
  <si>
    <t>Melipona scutellaris</t>
  </si>
  <si>
    <t>Melipona subnitida</t>
  </si>
  <si>
    <t>Melipona torrida</t>
  </si>
  <si>
    <t>Mimoides lysithous harrisianus</t>
  </si>
  <si>
    <t>Mimoides lysithous sebastianus</t>
  </si>
  <si>
    <t>Moschoneura pinthous methymna</t>
  </si>
  <si>
    <t>Napeogenes rhezia rhezia</t>
  </si>
  <si>
    <t>Nyceryx mielkei</t>
  </si>
  <si>
    <t>Oxynetra roscius iphimedia</t>
  </si>
  <si>
    <t>Pampasatyrus glaucope boenninghauseni</t>
  </si>
  <si>
    <t>Pampasatyrus glaucope eberti</t>
  </si>
  <si>
    <t>Pampasatyrus glaucope glaucope</t>
  </si>
  <si>
    <t>Pampasatyrus gyrtone</t>
  </si>
  <si>
    <t>Pampasatyrus reticulata</t>
  </si>
  <si>
    <t>Pampasatyrus reticulata gagarini</t>
  </si>
  <si>
    <t>Panara ovifera</t>
  </si>
  <si>
    <t>Paratrigona incerta</t>
  </si>
  <si>
    <t>Parelbella polyzona</t>
  </si>
  <si>
    <t>Parides ascanius</t>
  </si>
  <si>
    <t>Parides bunichus chamissonia</t>
  </si>
  <si>
    <t>Parides burchellanus</t>
  </si>
  <si>
    <t>Parides hahneli</t>
  </si>
  <si>
    <t>Parides klagesi</t>
  </si>
  <si>
    <t>Parides panthonus</t>
  </si>
  <si>
    <t>Parides panthonus castilhoi</t>
  </si>
  <si>
    <t>Parides tros danunciae</t>
  </si>
  <si>
    <t>Partamona ailyae</t>
  </si>
  <si>
    <t>Partamona combinata</t>
  </si>
  <si>
    <t>Partamona littoralis</t>
  </si>
  <si>
    <t>Perrhybris pamela flava</t>
  </si>
  <si>
    <t>Petrocerus catiena</t>
  </si>
  <si>
    <t>Plebeia grapiuna</t>
  </si>
  <si>
    <t>Praepedaliodes sequeirae</t>
  </si>
  <si>
    <t>Pseudocroniades machaon seabrai</t>
  </si>
  <si>
    <t>Pterourus xanthopleura</t>
  </si>
  <si>
    <t>Rhetus belphegor</t>
  </si>
  <si>
    <t>Scada karschina delicata</t>
  </si>
  <si>
    <t>Scada karschina karschina</t>
  </si>
  <si>
    <t>Scaura cearensis</t>
  </si>
  <si>
    <t>Schwarziana bocainensis</t>
  </si>
  <si>
    <t>Strymon ohausi</t>
  </si>
  <si>
    <t>Tetraglossula fucosa</t>
  </si>
  <si>
    <t>Tithorea harmonia caissara</t>
  </si>
  <si>
    <t>Turmosa camposa</t>
  </si>
  <si>
    <t>Voltinia sanarita</t>
  </si>
  <si>
    <t>Zonia zonia diabo</t>
  </si>
  <si>
    <t>Acherontides eleonorae</t>
  </si>
  <si>
    <t>Aegla cavernicola</t>
  </si>
  <si>
    <t>Aegla charon</t>
  </si>
  <si>
    <t>Aegla leptochela</t>
  </si>
  <si>
    <t>Aegla microphthalma</t>
  </si>
  <si>
    <t>Aegla renana</t>
  </si>
  <si>
    <t>Amazoniscus leistikowi</t>
  </si>
  <si>
    <t>Ananteris infuscata</t>
  </si>
  <si>
    <t>Ancistrus cryptophthalmus</t>
  </si>
  <si>
    <t>Ancistrus formoso</t>
  </si>
  <si>
    <t>Ariadna aurea</t>
  </si>
  <si>
    <t>Arrhopalites alambariensis</t>
  </si>
  <si>
    <t>Arrhopalites amorimi</t>
  </si>
  <si>
    <t>Arrhopalites botuveraensis</t>
  </si>
  <si>
    <t>Arrhopalites glabrofasciatus</t>
  </si>
  <si>
    <t>Arrhopalites gnaspinii</t>
  </si>
  <si>
    <t>Arrhopalites heteroculatus</t>
  </si>
  <si>
    <t>Arrhopalites lawrencei</t>
  </si>
  <si>
    <t>Arrhopalites paranaensis</t>
  </si>
  <si>
    <t>Brasileirinho cavaticus</t>
  </si>
  <si>
    <t>Brasilomma enigmatica</t>
  </si>
  <si>
    <t>Carajas paraua</t>
  </si>
  <si>
    <t>Charinus acaraje</t>
  </si>
  <si>
    <t>Charinus caatingae</t>
  </si>
  <si>
    <t>Charinus eleonorae</t>
  </si>
  <si>
    <t>Charinus ferreus</t>
  </si>
  <si>
    <t>Charinus potiguar</t>
  </si>
  <si>
    <t>Charinus spelaeus</t>
  </si>
  <si>
    <t>Charinus taboa</t>
  </si>
  <si>
    <t>Charinus troglobius</t>
  </si>
  <si>
    <t>Circoniscus buckupi</t>
  </si>
  <si>
    <t>Circoniscus carajasensis</t>
  </si>
  <si>
    <t>Coarazuphium amazonicus</t>
  </si>
  <si>
    <t>Coarazuphium caatinga</t>
  </si>
  <si>
    <t>Coarazuphium cessaima</t>
  </si>
  <si>
    <t>Coarazuphium formoso</t>
  </si>
  <si>
    <t>Coarazuphium pains</t>
  </si>
  <si>
    <t>Coarazuphium ricardoi</t>
  </si>
  <si>
    <t>Coarazuphium spinifemur</t>
  </si>
  <si>
    <t>Coarazuphium tapiaguassu</t>
  </si>
  <si>
    <t>Coarazuphium tessai</t>
  </si>
  <si>
    <t>Copelatus cessaima</t>
  </si>
  <si>
    <t>Cryptops iporangensis</t>
  </si>
  <si>
    <t>Cryptops spelaeoraptor</t>
  </si>
  <si>
    <t>Cubacubana spelaea</t>
  </si>
  <si>
    <t>Discocyrtus pedrosoi</t>
  </si>
  <si>
    <t>Dobrodesmus mirabilis</t>
  </si>
  <si>
    <t>Drymusa spelunca</t>
  </si>
  <si>
    <t>Eigenmannia vicentespelaea</t>
  </si>
  <si>
    <t>Endecous apterus</t>
  </si>
  <si>
    <t>Endecous peruassuensis</t>
  </si>
  <si>
    <t>Eukoenenia cavatica</t>
  </si>
  <si>
    <t>Eukoenenia eywa</t>
  </si>
  <si>
    <t>Eukoenenia jequitinhonha</t>
  </si>
  <si>
    <t>Eukoenenia maquinensis</t>
  </si>
  <si>
    <t>Eukoenenia navi</t>
  </si>
  <si>
    <t>Eukoenenia neytiri</t>
  </si>
  <si>
    <t>Eukoenenia potiguar</t>
  </si>
  <si>
    <t>Eukoenenia sagarana</t>
  </si>
  <si>
    <t>Eukoenenia spelunca</t>
  </si>
  <si>
    <t>Eukoenenia virgemdalapa</t>
  </si>
  <si>
    <t>Eusarcus elinae</t>
  </si>
  <si>
    <t>Ferricixius davidi</t>
  </si>
  <si>
    <t>Furipterus horrens</t>
  </si>
  <si>
    <t>Girardia arenicola</t>
  </si>
  <si>
    <t>Girardia desiderensis</t>
  </si>
  <si>
    <t>Girardia multidiverticulata</t>
  </si>
  <si>
    <t>Girardia paucipuntacta</t>
  </si>
  <si>
    <t>Giupponia chagasi</t>
  </si>
  <si>
    <t>Glaphyropoma spinosum</t>
  </si>
  <si>
    <t>Glomeridesmus spelaeus</t>
  </si>
  <si>
    <t>Gonycranaus pluto</t>
  </si>
  <si>
    <t>Harmonicon cerberus</t>
  </si>
  <si>
    <t>Hausera hauseri</t>
  </si>
  <si>
    <t>Hyalella caeca</t>
  </si>
  <si>
    <t>Hyalella epikarstica</t>
  </si>
  <si>
    <t>Hyalella formosa</t>
  </si>
  <si>
    <t>Hyalella imbya</t>
  </si>
  <si>
    <t>Hyalella veredae</t>
  </si>
  <si>
    <t>Iandumoema setimapocu</t>
  </si>
  <si>
    <t>Iandumoema smeagol</t>
  </si>
  <si>
    <t>Iandumoema uai</t>
  </si>
  <si>
    <t>Iansaoniscus georginae</t>
  </si>
  <si>
    <t>Iansaoniscus iraquara</t>
  </si>
  <si>
    <t>Ideoroncus cavicola</t>
  </si>
  <si>
    <t>Isoctenus corymbus</t>
  </si>
  <si>
    <t>Ituglanis bambui</t>
  </si>
  <si>
    <t>Ituglanis epikarsticus</t>
  </si>
  <si>
    <t>Ituglanis mambai</t>
  </si>
  <si>
    <t>Ituglanis passensis</t>
  </si>
  <si>
    <t>Ituglanis ramiroi</t>
  </si>
  <si>
    <t>Iuiuia caeca</t>
  </si>
  <si>
    <t>Iuiuniscus iuiuensis</t>
  </si>
  <si>
    <t>Kinnapotiguara troglobia</t>
  </si>
  <si>
    <t>Leodesmus yporangae</t>
  </si>
  <si>
    <t>Leptokoenenia pelada</t>
  </si>
  <si>
    <t>Leptokoenenia thalassophobica</t>
  </si>
  <si>
    <t>Litoblatta camargoi</t>
  </si>
  <si>
    <t>Lonchophylla dekeyseri</t>
  </si>
  <si>
    <t>Loxosceles troglobia</t>
  </si>
  <si>
    <t>Maxchernes iporangae</t>
  </si>
  <si>
    <t>Megagidiella azul</t>
  </si>
  <si>
    <t>Metagonia diamantina</t>
  </si>
  <si>
    <t>Metagonia potiguar</t>
  </si>
  <si>
    <t>Metopiellus painensis</t>
  </si>
  <si>
    <t>Natalus macrourus</t>
  </si>
  <si>
    <t>Newportia potiguar</t>
  </si>
  <si>
    <t>Newportia spelaea</t>
  </si>
  <si>
    <t>Ochyrocera ibitipoca</t>
  </si>
  <si>
    <t>Oncinocampa trajanoae</t>
  </si>
  <si>
    <t>Pachylospeleus strinatii</t>
  </si>
  <si>
    <t>Pararrhopalites papaveroi</t>
  </si>
  <si>
    <t>Pararrhopalites sideroicus</t>
  </si>
  <si>
    <t>Pararrhopalites ubiquum</t>
  </si>
  <si>
    <t>Pararrhopalites wallacei</t>
  </si>
  <si>
    <t>Peridontodesmella alba</t>
  </si>
  <si>
    <t>Pimelodella kronei</t>
  </si>
  <si>
    <t>Pimelodella spelaea</t>
  </si>
  <si>
    <t>Pongycarcinia xiphidiourus</t>
  </si>
  <si>
    <t>Potamolithus karsticus</t>
  </si>
  <si>
    <t>Potamolithus troglobius</t>
  </si>
  <si>
    <t>Potiberaba porakuara</t>
  </si>
  <si>
    <t>Progarypus nigrimanus</t>
  </si>
  <si>
    <t>Pseudochthonius biseriatus</t>
  </si>
  <si>
    <t>Pseudonannolene ambuatinga</t>
  </si>
  <si>
    <t>Pseudonannolene imbirensis</t>
  </si>
  <si>
    <t>Pseudonannolene lundi</t>
  </si>
  <si>
    <t>Pseudonannolene spelaea</t>
  </si>
  <si>
    <t>Pseudonannolene tocaiensis</t>
  </si>
  <si>
    <t>Pseudosinella guanhaensis</t>
  </si>
  <si>
    <t>Racekiela cavernicola</t>
  </si>
  <si>
    <t>Relictopiolus galadriel</t>
  </si>
  <si>
    <t>Rhamdiopsis krugi</t>
  </si>
  <si>
    <t>Rowlandius ubajara</t>
  </si>
  <si>
    <t>Sandalodesmus stramineus</t>
  </si>
  <si>
    <t>Schizogenius ocellatus</t>
  </si>
  <si>
    <t>Scolopocryptops troglocaudatus</t>
  </si>
  <si>
    <t>Seborgia potiguar</t>
  </si>
  <si>
    <t>Sluysia triapertura</t>
  </si>
  <si>
    <t>Spaeleoleptes spaeleus</t>
  </si>
  <si>
    <t>Spelaeobochica allodentatus</t>
  </si>
  <si>
    <t>Spelaeobochica iuiu</t>
  </si>
  <si>
    <t>Spelaeobochica muchmorei</t>
  </si>
  <si>
    <t>Spelaeochernes gracilipalpus</t>
  </si>
  <si>
    <t>Spelaeogammarus bahiensis</t>
  </si>
  <si>
    <t>Spelaeogammarus sanctus</t>
  </si>
  <si>
    <t>Spelaeogammarus santanensis</t>
  </si>
  <si>
    <t>Spelaeogammarus spinilacertus</t>
  </si>
  <si>
    <t>Spelaeogammarus titan</t>
  </si>
  <si>
    <t>Spelaeogammarus trajanoae</t>
  </si>
  <si>
    <t>Spelunconiscus castroi</t>
  </si>
  <si>
    <t>Speocera eleonorae</t>
  </si>
  <si>
    <t>Spinopilar moria</t>
  </si>
  <si>
    <t>Spiripockia punctata</t>
  </si>
  <si>
    <t>Stygichthys typhlops</t>
  </si>
  <si>
    <t>Tisentnops onix</t>
  </si>
  <si>
    <t>Tmesiphantes hypogeus</t>
  </si>
  <si>
    <t>Trichomycterus dali</t>
  </si>
  <si>
    <t>Trichomycterus itacarambiensis</t>
  </si>
  <si>
    <t>Trichomycterus rubbioli</t>
  </si>
  <si>
    <t>Tricongius ybyguara</t>
  </si>
  <si>
    <t>Troglobius brasiliensis</t>
  </si>
  <si>
    <t>Troglobius ferroicus</t>
  </si>
  <si>
    <t>Troglorhopalurus translucidus</t>
  </si>
  <si>
    <t>Trogolaphysa aelleni</t>
  </si>
  <si>
    <t>Xangoniscus aganju</t>
  </si>
  <si>
    <t>Xangoniscus itacarambiensis</t>
  </si>
  <si>
    <t>Xangoniscus odara</t>
  </si>
  <si>
    <t>Diomedea epomophora</t>
  </si>
  <si>
    <t>Procellaria conspicillata</t>
  </si>
  <si>
    <t>Actitis macularius</t>
  </si>
  <si>
    <t>Bartramia longicauda</t>
  </si>
  <si>
    <t>Calidris fuscicollis</t>
  </si>
  <si>
    <t>Calidris himantopus</t>
  </si>
  <si>
    <t>Calidris melanotos</t>
  </si>
  <si>
    <t>Calidris minutilla</t>
  </si>
  <si>
    <t>Charadrius falklandicus</t>
  </si>
  <si>
    <t>Charadrius modestus</t>
  </si>
  <si>
    <t>Charadrius wilsonia</t>
  </si>
  <si>
    <t>Limosa haemastica</t>
  </si>
  <si>
    <t>Oreopholus ruficollis</t>
  </si>
  <si>
    <t>Phalaropus tricolor</t>
  </si>
  <si>
    <t>Pluvialis dominica</t>
  </si>
  <si>
    <t>Pluvialis squatarola</t>
  </si>
  <si>
    <t>Tringa flavipes</t>
  </si>
  <si>
    <t>Tringa melanoleuca</t>
  </si>
  <si>
    <t>Tringa semipalmata</t>
  </si>
  <si>
    <t>Tringa solitaria</t>
  </si>
  <si>
    <t>CEMAVE_29.02</t>
  </si>
  <si>
    <t>Aves do Cerrado e Pantanal - 2º ciclo</t>
  </si>
  <si>
    <t>Amazona aestiva</t>
  </si>
  <si>
    <t>Anodorhynchus hyacinthinus</t>
  </si>
  <si>
    <t>Asthenes luizae</t>
  </si>
  <si>
    <t>Campylopterus calcirupicola</t>
  </si>
  <si>
    <t>Celeus obrieni</t>
  </si>
  <si>
    <t>Cinclodes espinhacensis</t>
  </si>
  <si>
    <t>Columbina cyanopis</t>
  </si>
  <si>
    <t>Conothraupis mesoleuca</t>
  </si>
  <si>
    <t>Contopus cooperi</t>
  </si>
  <si>
    <t>Coryphaspiza melanotis</t>
  </si>
  <si>
    <t>Crypturellus zabele</t>
  </si>
  <si>
    <t>Dolichonyx oryzivorus</t>
  </si>
  <si>
    <t>Geositta poeciloptera</t>
  </si>
  <si>
    <t>Harpia harpyja</t>
  </si>
  <si>
    <t>Hydropsalis candicans</t>
  </si>
  <si>
    <t>Knipolegus franciscanus</t>
  </si>
  <si>
    <t>Laterallus xenopterus</t>
  </si>
  <si>
    <t>Malacoptila minor</t>
  </si>
  <si>
    <t>Morphnus guianensis</t>
  </si>
  <si>
    <t>Neochen jubata</t>
  </si>
  <si>
    <t>Neomorphus geoffroyi</t>
  </si>
  <si>
    <t>Nothura minor</t>
  </si>
  <si>
    <t>Nyctiprogne vielliardi</t>
  </si>
  <si>
    <t>Ortalis remota</t>
  </si>
  <si>
    <t>Pandion haliaetus</t>
  </si>
  <si>
    <t>Phyllomyias reiseri</t>
  </si>
  <si>
    <t>Phylloscartes roquettei</t>
  </si>
  <si>
    <t>Polystictus pectoralis</t>
  </si>
  <si>
    <t>Pygochelidon melanoleuca</t>
  </si>
  <si>
    <t>Pyrrhura molinae</t>
  </si>
  <si>
    <t>Pyrrhura pfrimeri</t>
  </si>
  <si>
    <t>Scytalopus novacapitalis</t>
  </si>
  <si>
    <t>Sporophila beltoni</t>
  </si>
  <si>
    <t>Sporophila cinnamomea</t>
  </si>
  <si>
    <t>Sporophila hypochroma</t>
  </si>
  <si>
    <t>Sporophila hypoxantha</t>
  </si>
  <si>
    <t>Sporophila maximiliani</t>
  </si>
  <si>
    <t>Sporophila melanogaster</t>
  </si>
  <si>
    <t>Sporophila nigrorufa</t>
  </si>
  <si>
    <t>Sporophila palustris</t>
  </si>
  <si>
    <t>Sporophila pileata</t>
  </si>
  <si>
    <t>Sporophila ruficollis</t>
  </si>
  <si>
    <t>Taoniscus nanus</t>
  </si>
  <si>
    <t>Micrastur mintoni</t>
  </si>
  <si>
    <t>Pauxi mitu</t>
  </si>
  <si>
    <t>Celeus flavus subflavus</t>
  </si>
  <si>
    <t>Formicivora erythronotos</t>
  </si>
  <si>
    <t>Formicivora paludicola</t>
  </si>
  <si>
    <t>Merulaxis stresemanni</t>
  </si>
  <si>
    <t>Myrmotherula snowi</t>
  </si>
  <si>
    <t>Nemosia rourei</t>
  </si>
  <si>
    <t>Nyctibius leucopterus</t>
  </si>
  <si>
    <t>Odontophorus capueira plumbeicollis</t>
  </si>
  <si>
    <t>Penelope superciliaris alagoensis</t>
  </si>
  <si>
    <t>Phylloscartes ceciliae</t>
  </si>
  <si>
    <t>Pulsatrix perspicillata pulsatrix</t>
  </si>
  <si>
    <t>Sclerurus caudacutus caligineus</t>
  </si>
  <si>
    <t>Sclerurus caudacutus umbretta</t>
  </si>
  <si>
    <t>Terenura sicki</t>
  </si>
  <si>
    <t>Calyptura cristata</t>
  </si>
  <si>
    <t>Myrmotherula fluminensis</t>
  </si>
  <si>
    <t>Neomorphus geoffroyi geoffroyi</t>
  </si>
  <si>
    <t>Attila spadiceus uropygiatus</t>
  </si>
  <si>
    <t>Automolus lammi</t>
  </si>
  <si>
    <t>Celeus torquatus tinnunculus</t>
  </si>
  <si>
    <t>Cichlopsis leucogenys</t>
  </si>
  <si>
    <t>Conopophaga cearae</t>
  </si>
  <si>
    <t>Cotinga maculata</t>
  </si>
  <si>
    <t>Crax blumenbachii</t>
  </si>
  <si>
    <t>Dendrocincla taunayi</t>
  </si>
  <si>
    <t>Discosura langsdorffi langsdorffi</t>
  </si>
  <si>
    <t>Dysithamnus plumbeus</t>
  </si>
  <si>
    <t>Eleoscytalopus psychopompus</t>
  </si>
  <si>
    <t>Formicivora littoralis</t>
  </si>
  <si>
    <t>Grallaria varia intercedens</t>
  </si>
  <si>
    <t>Hemitriccus mirandae</t>
  </si>
  <si>
    <t>Iodopleura pipra</t>
  </si>
  <si>
    <t>Iodopleura pipra leucopygia</t>
  </si>
  <si>
    <t>Iodopleura pipra pipra</t>
  </si>
  <si>
    <t>Laniisoma elegans</t>
  </si>
  <si>
    <t>Leptodon forbesi</t>
  </si>
  <si>
    <t>Momotus momota marcgravianus</t>
  </si>
  <si>
    <t>Monasa morphoeus morphoeus</t>
  </si>
  <si>
    <t>Myrmoderus ruficauda</t>
  </si>
  <si>
    <t>Neomorphus geoffroyi dulcis</t>
  </si>
  <si>
    <t>Neopelma aurifrons</t>
  </si>
  <si>
    <t>Nyctibius aethereus aethereus</t>
  </si>
  <si>
    <t>Phaethornis margarettae</t>
  </si>
  <si>
    <t>Phylloscartes beckeri</t>
  </si>
  <si>
    <t>Piculus polyzonus</t>
  </si>
  <si>
    <t>Pyriglena atra</t>
  </si>
  <si>
    <t>Pyrrhura griseipectus</t>
  </si>
  <si>
    <t>Rhopornis ardesiacus</t>
  </si>
  <si>
    <t>Sclerurus cearensis</t>
  </si>
  <si>
    <t>Sclerurus macconnelli bahiae</t>
  </si>
  <si>
    <t>Scytalopus gonzagai</t>
  </si>
  <si>
    <t>Synallaxis infuscata</t>
  </si>
  <si>
    <t>Thalurania watertonii</t>
  </si>
  <si>
    <t>Thamnophilus aethiops distans</t>
  </si>
  <si>
    <t>Trogon collaris eytoni</t>
  </si>
  <si>
    <t>Acrobatornis fonsecai</t>
  </si>
  <si>
    <t>Amazona rhodocorytha</t>
  </si>
  <si>
    <t>Anthus nattereri</t>
  </si>
  <si>
    <t>Anumara forbesi</t>
  </si>
  <si>
    <t>Campylorhamphus trochilirostris trochilirostris</t>
  </si>
  <si>
    <t>Conopophaga lineata lineata</t>
  </si>
  <si>
    <t>Elaenia ridleyana</t>
  </si>
  <si>
    <t>Formicivora acutirostris</t>
  </si>
  <si>
    <t>Glaucis dohrnii</t>
  </si>
  <si>
    <t>Hemitriccus kaempferi</t>
  </si>
  <si>
    <t>Lipaugus conditus</t>
  </si>
  <si>
    <t>Myrmotherula minor</t>
  </si>
  <si>
    <t>Myrmotherula urosticta</t>
  </si>
  <si>
    <t>Onychorhynchus swainsoni</t>
  </si>
  <si>
    <t>Pionus reichenowi</t>
  </si>
  <si>
    <t>Platyrinchus leucoryphus</t>
  </si>
  <si>
    <t>Platyrinchus mystaceus niveigularis</t>
  </si>
  <si>
    <t>Pyriglena pernambucensis</t>
  </si>
  <si>
    <t>Pyrrhura cruentata</t>
  </si>
  <si>
    <t>Pyrrhura leucotis</t>
  </si>
  <si>
    <t>Schiffornis turdina intermedia</t>
  </si>
  <si>
    <t>Spinus yarrellii</t>
  </si>
  <si>
    <t>Sporophila falcirostris</t>
  </si>
  <si>
    <t>Strix huhula albomarginata</t>
  </si>
  <si>
    <t>Tangara fastuosa</t>
  </si>
  <si>
    <t>Thamnomanes caesius caesius</t>
  </si>
  <si>
    <t>Thamnophilus caerulescens pernambucensis</t>
  </si>
  <si>
    <t>Thripophaga macroura</t>
  </si>
  <si>
    <t>Touit melanonotus</t>
  </si>
  <si>
    <t>Touit surdus</t>
  </si>
  <si>
    <t>Vireo gracilirostris</t>
  </si>
  <si>
    <t>Xenops minutus alagoanus</t>
  </si>
  <si>
    <t>Xipholena atropurpurea</t>
  </si>
  <si>
    <t>Xiphorhynchus atlanticus</t>
  </si>
  <si>
    <t>Conopophaga melanops nigrifrons</t>
  </si>
  <si>
    <t>Herpsilochmus pileatus</t>
  </si>
  <si>
    <t>Stilpnia peruviana</t>
  </si>
  <si>
    <t>Polystictus pectoralis pectoralis</t>
  </si>
  <si>
    <t>Campephilus robustus</t>
  </si>
  <si>
    <t>Chamaeza meruloides</t>
  </si>
  <si>
    <t>Eleoscytalopus indigoticus</t>
  </si>
  <si>
    <t>Geotrygon violacea</t>
  </si>
  <si>
    <t>Laniocera hypopyrra</t>
  </si>
  <si>
    <t>Lipaugus vociferans</t>
  </si>
  <si>
    <t>Mackenziaena severa</t>
  </si>
  <si>
    <t>Merulaxis ater</t>
  </si>
  <si>
    <t>Myiothlypis rivularis</t>
  </si>
  <si>
    <t>Patagioenas plumbea</t>
  </si>
  <si>
    <t>Phibalura flavirostris</t>
  </si>
  <si>
    <t>Phyllomyias griseocapilla</t>
  </si>
  <si>
    <t>Pteroglossus bailloni</t>
  </si>
  <si>
    <t>Pyroderus scutatus</t>
  </si>
  <si>
    <t>Rhopias gularis</t>
  </si>
  <si>
    <t>Scytalopus speluncae</t>
  </si>
  <si>
    <t>Atelocynus microtis</t>
  </si>
  <si>
    <t>Lycalopex vetulus</t>
  </si>
  <si>
    <t>Mazama bororo</t>
  </si>
  <si>
    <t>Ozotoceros bezoarticus bezoarticus</t>
  </si>
  <si>
    <t>Ozotoceros bezoarticus leucogaster</t>
  </si>
  <si>
    <t>Leopardus colocola</t>
  </si>
  <si>
    <t>Leopardus geoffroyi</t>
  </si>
  <si>
    <t>Ctenomys flamarioni</t>
  </si>
  <si>
    <t>Ctenomys ibicuiensis</t>
  </si>
  <si>
    <t>Ctenomys lami</t>
  </si>
  <si>
    <t>Ctenomys minutus</t>
  </si>
  <si>
    <t>Euryoryzomys lamia</t>
  </si>
  <si>
    <t>Gyldenstolpia planaltensis</t>
  </si>
  <si>
    <t>Juscelinomys candango</t>
  </si>
  <si>
    <t>Kerodon acrobata</t>
  </si>
  <si>
    <t>Kerodon rupestris</t>
  </si>
  <si>
    <t>Microakodontomys transitorius</t>
  </si>
  <si>
    <t>Oligoryzomys rupestris</t>
  </si>
  <si>
    <t>Phyllomys brasiliensis</t>
  </si>
  <si>
    <t>Rhipidomys cariri</t>
  </si>
  <si>
    <t>Thalpomys cerradensis</t>
  </si>
  <si>
    <t>Thalpomys lasiotis</t>
  </si>
  <si>
    <t>Thylamys macrurus</t>
  </si>
  <si>
    <t>Thylamys velutinus</t>
  </si>
  <si>
    <t>Trinomys moojeni</t>
  </si>
  <si>
    <t>Trinomys yonenagae</t>
  </si>
  <si>
    <t>Wilfredomys oenax</t>
  </si>
  <si>
    <t>Akodon mystax</t>
  </si>
  <si>
    <t>Callistomys pictus</t>
  </si>
  <si>
    <t>Caluromysiops irrupta</t>
  </si>
  <si>
    <t>Cavia intermedia</t>
  </si>
  <si>
    <t>Cerradomys goytaca</t>
  </si>
  <si>
    <t>Chaetomys subspinosus</t>
  </si>
  <si>
    <t>Coendou speratus</t>
  </si>
  <si>
    <t>Ctenomys bicolor</t>
  </si>
  <si>
    <t>Marmosops paulensis</t>
  </si>
  <si>
    <t>Phyllomys lundi</t>
  </si>
  <si>
    <t>Phyllomys thomasi</t>
  </si>
  <si>
    <t>Phyllomys unicolor</t>
  </si>
  <si>
    <t>Rhipidomys tribei</t>
  </si>
  <si>
    <t>Trinomys eliasi</t>
  </si>
  <si>
    <t>Trinomys mirapitanga</t>
  </si>
  <si>
    <t>Aegla obstipa</t>
  </si>
  <si>
    <t>Asthenes hudsoni</t>
  </si>
  <si>
    <t>Austrolebias nigrofasciatus</t>
  </si>
  <si>
    <t>Cynopoecilus fulgens</t>
  </si>
  <si>
    <t>Laterallus spilopterus</t>
  </si>
  <si>
    <t>Liolaemus arambarensis</t>
  </si>
  <si>
    <t>Acentronichthys leptos</t>
  </si>
  <si>
    <t>Aegla brevipalma</t>
  </si>
  <si>
    <t>Aegla camargoi</t>
  </si>
  <si>
    <t>Aegla franca</t>
  </si>
  <si>
    <t>Aegla grisella</t>
  </si>
  <si>
    <t>Aegla inconspicua</t>
  </si>
  <si>
    <t>Aegla inermis</t>
  </si>
  <si>
    <t>Aegla itacolomiensis</t>
  </si>
  <si>
    <t>Aegla lata</t>
  </si>
  <si>
    <t>Aegla leachi</t>
  </si>
  <si>
    <t>Aegla leptodactyla</t>
  </si>
  <si>
    <t>Aegla ligulata</t>
  </si>
  <si>
    <t>Aegla manuinflata</t>
  </si>
  <si>
    <t>Aegla oblata</t>
  </si>
  <si>
    <t>Aegla perobae</t>
  </si>
  <si>
    <t>Aegla plana</t>
  </si>
  <si>
    <t>Aegla pomerana</t>
  </si>
  <si>
    <t>Aegla rossiana</t>
  </si>
  <si>
    <t>Aegla spinipalma</t>
  </si>
  <si>
    <t>Aegla spinosa</t>
  </si>
  <si>
    <t>Aegla strinatii</t>
  </si>
  <si>
    <t>Aegla violacea</t>
  </si>
  <si>
    <t>Apareiodon davisi</t>
  </si>
  <si>
    <t>Apareiodon vladii</t>
  </si>
  <si>
    <t>Astyanax eremus</t>
  </si>
  <si>
    <t>Brachyhypopomus jureiae</t>
  </si>
  <si>
    <t>Brycon devillei</t>
  </si>
  <si>
    <t>Brycon vermelha</t>
  </si>
  <si>
    <t>Bryconamericus lambari</t>
  </si>
  <si>
    <t>Cambeva paolence</t>
  </si>
  <si>
    <t>Cambeva tropeiro</t>
  </si>
  <si>
    <t>Characidium grajahuensis</t>
  </si>
  <si>
    <t>Characidium heirmostigmata</t>
  </si>
  <si>
    <t>Characidium oiticicai</t>
  </si>
  <si>
    <t>Characidium vestigipinne</t>
  </si>
  <si>
    <t>Cnesterodon hypselurus</t>
  </si>
  <si>
    <t>Cnesterodon iguape</t>
  </si>
  <si>
    <t>Coptobrycon bilineatus</t>
  </si>
  <si>
    <t>Corydoras lacerdai</t>
  </si>
  <si>
    <t>Crenicichla empheres</t>
  </si>
  <si>
    <t>Crenicichla hadrostigma</t>
  </si>
  <si>
    <t>Crenicichla jupiaensis</t>
  </si>
  <si>
    <t>Diapoma pyrrhopteryx</t>
  </si>
  <si>
    <t>Glandulocauda caerulea</t>
  </si>
  <si>
    <t>Hasemania piatan</t>
  </si>
  <si>
    <t>Hemiancistrus megalopteryx</t>
  </si>
  <si>
    <t>Henochilus wheatlandii</t>
  </si>
  <si>
    <t>Heptapterus multiradiatus</t>
  </si>
  <si>
    <t>Hollandichthys taramandahy</t>
  </si>
  <si>
    <t>Hyphessobrycon flammeus</t>
  </si>
  <si>
    <t>Hypomasticus mormyrops</t>
  </si>
  <si>
    <t>Isbrueckerichthys saxicola</t>
  </si>
  <si>
    <t>Ituglanis cahyensis</t>
  </si>
  <si>
    <t>Jenynsia sanctaecatarinae</t>
  </si>
  <si>
    <t>Kalyptodoras bahiensis</t>
  </si>
  <si>
    <t>Kolpotocheirodon figueiredoi</t>
  </si>
  <si>
    <t>Lepidocharax diamantina</t>
  </si>
  <si>
    <t>Leporinus melanopleurodes</t>
  </si>
  <si>
    <t>Lignobrycon myersi</t>
  </si>
  <si>
    <t>Listrura camposi</t>
  </si>
  <si>
    <t>Listrura costai</t>
  </si>
  <si>
    <t>Listrura nematopteryx</t>
  </si>
  <si>
    <t>Listrura tetraradiata</t>
  </si>
  <si>
    <t>Lophiobrycon weitzmani</t>
  </si>
  <si>
    <t>Microcambeva draco</t>
  </si>
  <si>
    <t>Microlepidogaster perforatus</t>
  </si>
  <si>
    <t>Mimagoniates lateralis</t>
  </si>
  <si>
    <t>Mimagoniates sylvicola</t>
  </si>
  <si>
    <t>Neoplecostomus botucatu</t>
  </si>
  <si>
    <t>Neoplecostomus selenae</t>
  </si>
  <si>
    <t>Otothyris juquiae</t>
  </si>
  <si>
    <t>Pareiorhaphis nasuta</t>
  </si>
  <si>
    <t>Pareiorhaphis scutula</t>
  </si>
  <si>
    <t>Parotocinclus spilurus</t>
  </si>
  <si>
    <t>Phalloptychus eigenmanni</t>
  </si>
  <si>
    <t>Pogonopoma obscurum</t>
  </si>
  <si>
    <t>Pseudotocinclus juquiae</t>
  </si>
  <si>
    <t>Pseudotocinclus tietensis</t>
  </si>
  <si>
    <t>Rachoviscus crassiceps</t>
  </si>
  <si>
    <t>Rachoviscus graciliceps</t>
  </si>
  <si>
    <t>Rhamdia jequitinhonha</t>
  </si>
  <si>
    <t>Scleromystax macropterus</t>
  </si>
  <si>
    <t>Spintherobolus ankoseion</t>
  </si>
  <si>
    <t>Spintherobolus broccae</t>
  </si>
  <si>
    <t>Spintherobolus leptoura</t>
  </si>
  <si>
    <t>Spintherobolus papilliferus</t>
  </si>
  <si>
    <t>Steindachneridion amblyurum</t>
  </si>
  <si>
    <t>Steindachneridion doceanum</t>
  </si>
  <si>
    <t>Tembeassu marauna</t>
  </si>
  <si>
    <t>Trichogenes claviger</t>
  </si>
  <si>
    <t>Trichomycterus paquequerense</t>
  </si>
  <si>
    <t>Anablepsoides cearensis</t>
  </si>
  <si>
    <t>Atlantirivulus lazzarotoi</t>
  </si>
  <si>
    <t>Atlantirivulus maricensis</t>
  </si>
  <si>
    <t>Atlantirivulus nudiventris</t>
  </si>
  <si>
    <t>Austrolebias bagual</t>
  </si>
  <si>
    <t>Austrolebias carvalhoi</t>
  </si>
  <si>
    <t>Austrolebias cheradophilus</t>
  </si>
  <si>
    <t>Austrolebias cinereus</t>
  </si>
  <si>
    <t>Austrolebias jaegari</t>
  </si>
  <si>
    <t>Austrolebias pelotapes</t>
  </si>
  <si>
    <t>Austrolebias quirogai</t>
  </si>
  <si>
    <t>Austrolebias univentripinnis</t>
  </si>
  <si>
    <t>Austrolebias varzeae</t>
  </si>
  <si>
    <t>Campellolebias brucei</t>
  </si>
  <si>
    <t>Campellolebias chrysolineatus</t>
  </si>
  <si>
    <t>Campellolebias dorsimaculatus</t>
  </si>
  <si>
    <t>Campellolebias intermedius</t>
  </si>
  <si>
    <t>Cynolebias elegans</t>
  </si>
  <si>
    <t>Cynolebias parnaibensis</t>
  </si>
  <si>
    <t>Hypsolebias adornatus</t>
  </si>
  <si>
    <t>Hypsolebias auratus</t>
  </si>
  <si>
    <t>Hypsolebias fulminantis</t>
  </si>
  <si>
    <t>Hypsolebias gilbertobrasili</t>
  </si>
  <si>
    <t>Hypsolebias hamadryades</t>
  </si>
  <si>
    <t>Hypsolebias janaubensis</t>
  </si>
  <si>
    <t>Hypsolebias lopesi</t>
  </si>
  <si>
    <t>Hypsolebias marginatus</t>
  </si>
  <si>
    <t>Hypsolebias multiradiatus</t>
  </si>
  <si>
    <t>Hypsolebias rufus</t>
  </si>
  <si>
    <t>Hypsolebias tocantinensis</t>
  </si>
  <si>
    <t>Hypsolebias trilineatus</t>
  </si>
  <si>
    <t>Hypsolebias virgulatus</t>
  </si>
  <si>
    <t>Kryptolebias campelloi</t>
  </si>
  <si>
    <t>Kryptolebias gracilis</t>
  </si>
  <si>
    <t>Leptolebias marmoratus</t>
  </si>
  <si>
    <t>Leptopanchax citrinipinnis</t>
  </si>
  <si>
    <t>Leptopanchax itanhaensis</t>
  </si>
  <si>
    <t>Leptopanchax opalescens</t>
  </si>
  <si>
    <t>Leptopanchax splendens</t>
  </si>
  <si>
    <t>Moema piriana</t>
  </si>
  <si>
    <t>Nematolebias catimbau</t>
  </si>
  <si>
    <t>Nematolebias papilliferus</t>
  </si>
  <si>
    <t>Nematolebias whitei</t>
  </si>
  <si>
    <t>Notholebias cruzi</t>
  </si>
  <si>
    <t>Notholebias fractifasciatus</t>
  </si>
  <si>
    <t>Notholebias vermiculatus</t>
  </si>
  <si>
    <t>Ophthalmolebias bokermanni</t>
  </si>
  <si>
    <t>Ophthalmolebias constanciae</t>
  </si>
  <si>
    <t>Ophthalmolebias perpendicularis</t>
  </si>
  <si>
    <t>Ophthalmolebias rosaceus</t>
  </si>
  <si>
    <t>Pituna brevirostrata</t>
  </si>
  <si>
    <t>Pituna xinguensis</t>
  </si>
  <si>
    <t>Simpsonichthys boitonei</t>
  </si>
  <si>
    <t>Simpsonichthys punctulatus</t>
  </si>
  <si>
    <t>Simpsonichthys zonatus</t>
  </si>
  <si>
    <t>Spectrolebias reticulatus</t>
  </si>
  <si>
    <t>Atlantirivulus simplicis</t>
  </si>
  <si>
    <t>Austrolebias adloffi</t>
  </si>
  <si>
    <t>Austrolebias alexandri</t>
  </si>
  <si>
    <t>Austrolebias camaquensis</t>
  </si>
  <si>
    <t>Austrolebias cyaneus</t>
  </si>
  <si>
    <t>Austrolebias ephemerus</t>
  </si>
  <si>
    <t>Austrolebias ibicuiensis</t>
  </si>
  <si>
    <t>Austrolebias pongondo</t>
  </si>
  <si>
    <t>Cynolebias gorutuba</t>
  </si>
  <si>
    <t>Cynolebias griseus</t>
  </si>
  <si>
    <t>Cynolebias leptocephalus</t>
  </si>
  <si>
    <t>Hypsolebias alternatus</t>
  </si>
  <si>
    <t>Hypsolebias carlettoi</t>
  </si>
  <si>
    <t>Hypsolebias flammeus</t>
  </si>
  <si>
    <t>Hypsolebias flavicaudatus</t>
  </si>
  <si>
    <t>Hypsolebias gardneri</t>
  </si>
  <si>
    <t>Hypsolebias ghisolfii</t>
  </si>
  <si>
    <t>Hypsolebias hellneri</t>
  </si>
  <si>
    <t>Hypsolebias igneus</t>
  </si>
  <si>
    <t>Hypsolebias macaubensis</t>
  </si>
  <si>
    <t>Hypsolebias magnificus</t>
  </si>
  <si>
    <t>Hypsolebias nielseni</t>
  </si>
  <si>
    <t>Hypsolebias notatus</t>
  </si>
  <si>
    <t>Hypsolebias picturatus</t>
  </si>
  <si>
    <t>Hypsolebias radiseriatus</t>
  </si>
  <si>
    <t>Hypsolebias stellatus</t>
  </si>
  <si>
    <t>Kryptolebias brasiliensis</t>
  </si>
  <si>
    <t>Melanorivulus pinima</t>
  </si>
  <si>
    <t>Melanorivulus scalaris</t>
  </si>
  <si>
    <t>Melanorivulus vittatus</t>
  </si>
  <si>
    <t>Notholebias minimus</t>
  </si>
  <si>
    <t>Ophthalmolebias ilheusensis</t>
  </si>
  <si>
    <t>Plesiolebias xavantei</t>
  </si>
  <si>
    <t>Simpsonichthys cholopteryx</t>
  </si>
  <si>
    <t>Simpsonichthys espinhacensis</t>
  </si>
  <si>
    <t>Simpsonichthys parallelus</t>
  </si>
  <si>
    <t>Simpsonichthys santanae</t>
  </si>
  <si>
    <t>Trigonectes strigabundus</t>
  </si>
  <si>
    <t>Xenurolebias myersi</t>
  </si>
  <si>
    <t>Austrolebias arachan</t>
  </si>
  <si>
    <t>Austrolebias araucarianus</t>
  </si>
  <si>
    <t>Austrolebias litzi</t>
  </si>
  <si>
    <t>Austrolebias nachtigalli</t>
  </si>
  <si>
    <t>Austrolebias paucisquama</t>
  </si>
  <si>
    <t>Cynolebias akroa</t>
  </si>
  <si>
    <t>Cynopoecilus feltrini</t>
  </si>
  <si>
    <t>Cynopoecilus intimus</t>
  </si>
  <si>
    <t>Hypsolebias brunoi</t>
  </si>
  <si>
    <t>Hypsolebias delucai</t>
  </si>
  <si>
    <t>Hypsolebias faouri</t>
  </si>
  <si>
    <t>Hypsolebias fasciatus</t>
  </si>
  <si>
    <t>Hypsolebias gibberatus</t>
  </si>
  <si>
    <t>Hypsolebias guanambi</t>
  </si>
  <si>
    <t>Hypsolebias harmonicus</t>
  </si>
  <si>
    <t>Hypsolebias longignatus</t>
  </si>
  <si>
    <t>Hypsolebias mediopapillatus</t>
  </si>
  <si>
    <t>Hypsolebias nudiorbitatus</t>
  </si>
  <si>
    <t>Hypsolebias shibattai</t>
  </si>
  <si>
    <t>Hypsolebias splendissimus</t>
  </si>
  <si>
    <t>Maratecoara formosa</t>
  </si>
  <si>
    <t>Maratecoara splendida</t>
  </si>
  <si>
    <t>Melanorivulus crixas</t>
  </si>
  <si>
    <t>Melanorivulus illuminatus</t>
  </si>
  <si>
    <t>Melanorivulus karaja</t>
  </si>
  <si>
    <t>Melanorivulus kayapo</t>
  </si>
  <si>
    <t>Melanorivulus kunzei</t>
  </si>
  <si>
    <t>Melanorivulus rubromarginatus</t>
  </si>
  <si>
    <t>Melanorivulus rutilicaudus</t>
  </si>
  <si>
    <t>Melanorivulus salmonicaudus</t>
  </si>
  <si>
    <t>Melanorivulus ubirajarai</t>
  </si>
  <si>
    <t>Ophthalmolebias suzarti</t>
  </si>
  <si>
    <t>Plesiolebias canabravensis</t>
  </si>
  <si>
    <t>Simpsonichthys nigromaculatus</t>
  </si>
  <si>
    <t>Austrolebias botocudo</t>
  </si>
  <si>
    <t>Austrolebias cheffei</t>
  </si>
  <si>
    <t>Austrolebias lourenciano</t>
  </si>
  <si>
    <t>Austrolebias nubium</t>
  </si>
  <si>
    <t>Austrolebias reicherti</t>
  </si>
  <si>
    <t>Hypsolebias radiosus</t>
  </si>
  <si>
    <t>Melanorivulus amambaiensis</t>
  </si>
  <si>
    <t>Melanorivulus egens</t>
  </si>
  <si>
    <t>Xenurolebias pataxo</t>
  </si>
  <si>
    <t>Austrolebias charrua</t>
  </si>
  <si>
    <t>Austrolebias juanlangi</t>
  </si>
  <si>
    <t>Austrolebias luteoflammulatus</t>
  </si>
  <si>
    <t>Austrolebias melanoorus</t>
  </si>
  <si>
    <t>Austrolebias minuano</t>
  </si>
  <si>
    <t>Austrolebias prognathus</t>
  </si>
  <si>
    <t>Austrolebias wolterstorffi</t>
  </si>
  <si>
    <t>Cynopoecilus nigrovittatus</t>
  </si>
  <si>
    <t>Hypsolebias martinsi</t>
  </si>
  <si>
    <t>Melanorivulus dapazi</t>
  </si>
  <si>
    <t>Melanorivulus faucireticulatus</t>
  </si>
  <si>
    <t>Melanorivulus imperatrizensis</t>
  </si>
  <si>
    <t>Moema apurinan</t>
  </si>
  <si>
    <t>Neofundulus paraguayensis</t>
  </si>
  <si>
    <t>Atlantirivulus riograndensis</t>
  </si>
  <si>
    <t>Austrolebias periodicus</t>
  </si>
  <si>
    <t>Hypsolebias similis</t>
  </si>
  <si>
    <t>Mucurilebias leitaoi</t>
  </si>
  <si>
    <t>Xenurolebias izecksohni</t>
  </si>
  <si>
    <t>Brycon nattereri</t>
  </si>
  <si>
    <t>Pseudoplatystoma corruscans</t>
  </si>
  <si>
    <t>Rhinelepis aspera</t>
  </si>
  <si>
    <t>Bunocephalus larai</t>
  </si>
  <si>
    <t>Cambeva pascuali</t>
  </si>
  <si>
    <t>Characidium onca</t>
  </si>
  <si>
    <t>Chasmocranus brachynemus</t>
  </si>
  <si>
    <t>Harttia gracilis</t>
  </si>
  <si>
    <t>Hasemania crenuchoides</t>
  </si>
  <si>
    <t>Hasemania uberaba</t>
  </si>
  <si>
    <t>Hyphessobrycon duragenys</t>
  </si>
  <si>
    <t>Hyphessobrycon uaiso</t>
  </si>
  <si>
    <t>Isbrueckerichthys calvus</t>
  </si>
  <si>
    <t>Myloplus tiete</t>
  </si>
  <si>
    <t>Phallotorynus jucundus</t>
  </si>
  <si>
    <t>Piaractus mesopotamicus</t>
  </si>
  <si>
    <t>Prochilodus vimboides</t>
  </si>
  <si>
    <t>Pseudopimelodus mangurus</t>
  </si>
  <si>
    <t>Rhinolekos schaeferi</t>
  </si>
  <si>
    <t>Salminus brasiliensis</t>
  </si>
  <si>
    <t>Schizodon altoparanae</t>
  </si>
  <si>
    <t>Steindachneridion punctatum</t>
  </si>
  <si>
    <t>Taunayia bifasciata</t>
  </si>
  <si>
    <t>Zungaro jahu</t>
  </si>
  <si>
    <t>Balaenoptera borealis</t>
  </si>
  <si>
    <t>Balaenoptera musculus</t>
  </si>
  <si>
    <t>Balaenoptera physalus</t>
  </si>
  <si>
    <t>Physeter macrocephalus</t>
  </si>
  <si>
    <t>Tursiops gephyreus</t>
  </si>
  <si>
    <t>CPB_10.01</t>
  </si>
  <si>
    <t>Brachyteles arachnoides</t>
  </si>
  <si>
    <t>Priodontes maximus</t>
  </si>
  <si>
    <t>Tolypeutes tricinctus</t>
  </si>
  <si>
    <t>RAN_07.01</t>
  </si>
  <si>
    <t>CERPAN</t>
  </si>
  <si>
    <t>Ameiva parecis</t>
  </si>
  <si>
    <t>Ancistrus minutus</t>
  </si>
  <si>
    <t>Apostolepis striata</t>
  </si>
  <si>
    <t>Bachia didactyla</t>
  </si>
  <si>
    <t>Bachia psamophila</t>
  </si>
  <si>
    <t>Baryancistrus niveatus</t>
  </si>
  <si>
    <t>Brycon gouldingi</t>
  </si>
  <si>
    <t>Kentropyx vanzoi</t>
  </si>
  <si>
    <t>Loricaria coximensis</t>
  </si>
  <si>
    <t>Mylesinus paucisquamatus</t>
  </si>
  <si>
    <t>Phalotris multipunctatus</t>
  </si>
  <si>
    <t>Philodryas livida</t>
  </si>
  <si>
    <t>Sartor tucuruiense</t>
  </si>
  <si>
    <t>Apostolepis quirogai</t>
  </si>
  <si>
    <t>Atractus thalesdelemai</t>
  </si>
  <si>
    <t>Boana curupi</t>
  </si>
  <si>
    <t>Boana semiguttata</t>
  </si>
  <si>
    <t>Bothrops itapetiningae</t>
  </si>
  <si>
    <t>Brachycephalus pernix</t>
  </si>
  <si>
    <t>Calamodontophis paucidens</t>
  </si>
  <si>
    <t>Calamodontophis ronaldoi</t>
  </si>
  <si>
    <t>Ceratophrys ornata</t>
  </si>
  <si>
    <t>Contomastix vacariensis</t>
  </si>
  <si>
    <t>Crossodactylus schmidti</t>
  </si>
  <si>
    <t>Cycloramphus bolitoglossus</t>
  </si>
  <si>
    <t>Cycloramphus diringshofeni</t>
  </si>
  <si>
    <t>Ditaxodon taeniatus</t>
  </si>
  <si>
    <t>Homonota uruguayensis</t>
  </si>
  <si>
    <t>Hypsiboas poaju</t>
  </si>
  <si>
    <t>Liolaemus occipitalis</t>
  </si>
  <si>
    <t>Melanophryniscus admirabilis</t>
  </si>
  <si>
    <t>Melanophryniscus cambaraensis</t>
  </si>
  <si>
    <t>Melanophryniscus dorsalis</t>
  </si>
  <si>
    <t>Melanophryniscus montevidensis</t>
  </si>
  <si>
    <t>Melanophryniscus spectabilis</t>
  </si>
  <si>
    <t>Stenocercus azureus</t>
  </si>
  <si>
    <t>Thoropa saxatilis</t>
  </si>
  <si>
    <t>Tropidurus imbituba</t>
  </si>
  <si>
    <t>Fregata minor</t>
  </si>
  <si>
    <t>Aves Marinhas - 2º ciclo</t>
  </si>
  <si>
    <t>Fregata trinitatis</t>
  </si>
  <si>
    <t>Pterodroma arminjoniana</t>
  </si>
  <si>
    <t>Puffinus lherminieri</t>
  </si>
  <si>
    <t>Phaethon aethereus</t>
  </si>
  <si>
    <t>Phaethon lepturus</t>
  </si>
  <si>
    <t>Pterodroma madeira</t>
  </si>
  <si>
    <t>Sula sula</t>
  </si>
  <si>
    <t>Pterodroma deserta</t>
  </si>
  <si>
    <t>Sterna dougallii</t>
  </si>
  <si>
    <t>Calonectris edwardsii</t>
  </si>
  <si>
    <t>Gygis alba</t>
  </si>
  <si>
    <t>Leptasthenura platensis</t>
  </si>
  <si>
    <t>Coryphistera alaudina</t>
  </si>
  <si>
    <t>Gubernatrix cristata</t>
  </si>
  <si>
    <t>Pseudoseisura lophotes</t>
  </si>
  <si>
    <t>Hydropsalis anomala</t>
  </si>
  <si>
    <t>Limnoctites rectirostris</t>
  </si>
  <si>
    <t>Culicivora caudacuta</t>
  </si>
  <si>
    <t>CENAP_15.03</t>
  </si>
  <si>
    <t>Ariranha - 3º ciclo</t>
  </si>
  <si>
    <t>UC</t>
  </si>
  <si>
    <t>jacutinga</t>
  </si>
  <si>
    <t>Aves</t>
  </si>
  <si>
    <t>Em Perigo</t>
  </si>
  <si>
    <t>galito</t>
  </si>
  <si>
    <t>Vulnerável</t>
  </si>
  <si>
    <t>Alopias vulpinus</t>
  </si>
  <si>
    <t>tubarão-rabudo, tubarão-raposa, tubarão-saltador</t>
  </si>
  <si>
    <t>Tubarões e Raias</t>
  </si>
  <si>
    <t>Criticamente em Perigo</t>
  </si>
  <si>
    <t>SP/PR/MS</t>
  </si>
  <si>
    <t>gavião-pombo-pequeno</t>
  </si>
  <si>
    <t>SP/PR</t>
  </si>
  <si>
    <t>papagaio-charão</t>
  </si>
  <si>
    <t>papagaio-de-peito-roxo</t>
  </si>
  <si>
    <t>caminheiro-grande</t>
  </si>
  <si>
    <t>PR/SC</t>
  </si>
  <si>
    <t>emplastro, emplastro-marcela, emplastro-pintado, raia-chita, raia-marcela</t>
  </si>
  <si>
    <t>raia-carimbada</t>
  </si>
  <si>
    <t>papo-branco</t>
  </si>
  <si>
    <t>Quase ameaçada</t>
  </si>
  <si>
    <t>Cervo-do-Pantanal</t>
  </si>
  <si>
    <t>Mamíferos</t>
  </si>
  <si>
    <t>Piracanjuba</t>
  </si>
  <si>
    <t>Peixes Continentais</t>
  </si>
  <si>
    <t>maçarico-de-papo-vermelho</t>
  </si>
  <si>
    <t>maçarico-rasteirinho</t>
  </si>
  <si>
    <t>maçarico-acanelado</t>
  </si>
  <si>
    <t>Carcharhinus leucas</t>
  </si>
  <si>
    <t>cabeça-chata, cação-baiacu, cação-de-rio, pirarara, tubarão-touro</t>
  </si>
  <si>
    <t>Carcharhinus obscurus</t>
  </si>
  <si>
    <t>cabeça-chata-do-sul, cação-baía, cação-fidalgo, machote</t>
  </si>
  <si>
    <t>Carcharhinus plumbeus</t>
  </si>
  <si>
    <t>tubarão-galhudo, tubarão-sucuri</t>
  </si>
  <si>
    <t>Carcharhinus porosus</t>
  </si>
  <si>
    <t>Cação-azeiteiro</t>
  </si>
  <si>
    <t>cação-da-areia, cação-mangona, caçoa, tubarão-mangona</t>
  </si>
  <si>
    <t>Carcharodon carcharias</t>
  </si>
  <si>
    <t>tubarão-branco</t>
  </si>
  <si>
    <t>Avó de Aruanã, Careba-dura, Tartaruga amarela, Tartaruga-avó, Tartaruga-cabeçuda, Tartaruga mestiça</t>
  </si>
  <si>
    <t>Répteis</t>
  </si>
  <si>
    <t>0000.00.0150</t>
  </si>
  <si>
    <t>Preá</t>
  </si>
  <si>
    <t>SC/RS</t>
  </si>
  <si>
    <t>pica-pau-de-cara-canela</t>
  </si>
  <si>
    <t>Cetorhinus maximus</t>
  </si>
  <si>
    <t>Tubarão-peregrino</t>
  </si>
  <si>
    <t>Aruanã, Depéia, Jereba, suçuarana, Tartaruga do mar, Tartaruga pedrÃªs, Tartaruga-verde</t>
  </si>
  <si>
    <t>MS/PR</t>
  </si>
  <si>
    <t>gavião-cinza</t>
  </si>
  <si>
    <t>Esponja</t>
  </si>
  <si>
    <t>Invertebrados Marinhos</t>
  </si>
  <si>
    <t>Tuco-tuco</t>
  </si>
  <si>
    <t>Peixe anual</t>
  </si>
  <si>
    <t>albatroz-real</t>
  </si>
  <si>
    <t>Peixes Marinhos (ósseos)</t>
  </si>
  <si>
    <t>badejão, bodete, canapu, garoupa, mero, merote</t>
  </si>
  <si>
    <t>Garoupa-verdadeira</t>
  </si>
  <si>
    <t>Mero-americano</t>
  </si>
  <si>
    <t>Tartaruga de escamas, Tartaruga Legítima</t>
  </si>
  <si>
    <t>Baleia-franca, Baleia-franca-austral, Baleia-franca-do-sul</t>
  </si>
  <si>
    <t>bicudinho-do-brejo</t>
  </si>
  <si>
    <t>Galeorhinus galeus</t>
  </si>
  <si>
    <t>Cação-bico-doce</t>
  </si>
  <si>
    <t>Bagre-branco</t>
  </si>
  <si>
    <t>cardeal-amarelo</t>
  </si>
  <si>
    <t>raia-borboleta, raia-manteiga</t>
  </si>
  <si>
    <t>maria-catarinense</t>
  </si>
  <si>
    <t>Gato-azul, Gato-mourisco, Gato-vermelho, Jaguarundi</t>
  </si>
  <si>
    <t>noivinha-de-rabo-preto</t>
  </si>
  <si>
    <t>Cavalo-marinho-de-focinho-longo</t>
  </si>
  <si>
    <t>Lambari-listrado</t>
  </si>
  <si>
    <t>Camarãozinho, Geco-do-campo, Geco-dos-campos, Geco-uruguaio</t>
  </si>
  <si>
    <t>Hyporthodus nigritus</t>
  </si>
  <si>
    <t>cherne-negro, cherne-queimado, cherne-verdadeiro, mero-negro</t>
  </si>
  <si>
    <t>chibante</t>
  </si>
  <si>
    <t>mico-caiçara, Mico-leão-da-cara-preta, saguizinho</t>
  </si>
  <si>
    <t>Gato-dos-pampas, Gato-palheiro</t>
  </si>
  <si>
    <t>Gato-do-mato, Gato-do-mato-grande</t>
  </si>
  <si>
    <t>Gato-do-mato</t>
  </si>
  <si>
    <t>Canguçu, Gato-do-mato-grande, Jaguatirica, Maracajá, meia-malha, Oncinha</t>
  </si>
  <si>
    <t>Menos preocupante</t>
  </si>
  <si>
    <t>Gato-do-mato, Gato-maracajá, gato-maracajá-mirim, Pintadinho</t>
  </si>
  <si>
    <t>Gato-do-mato, Gato-maracajá, Gato-peludo, Maracajá-peludo</t>
  </si>
  <si>
    <t>Tartaruga comum, Tartaruga-oliva, Tartaruga pequena, Xibirro</t>
  </si>
  <si>
    <t>maçarico-de-costas-brancas</t>
  </si>
  <si>
    <t>Lagartixa-da-praia</t>
  </si>
  <si>
    <t>Caranha, Caranha-do-fundo, Caranho, Vermelho-caranho</t>
  </si>
  <si>
    <t>Veado-bororó-do-sul, Veado-mão-curta</t>
  </si>
  <si>
    <t>Sapinho-mão-vermelha-de-Cambará, Sapinho-verde, Sapinho-verde-de-barriga-vermelha</t>
  </si>
  <si>
    <t>Anfíbios</t>
  </si>
  <si>
    <t>Sapinho-da-barriga-colorida, Sapinho-da-barriga-vermelha, Sapinho-mão-vermelha-da-restinga</t>
  </si>
  <si>
    <t>Lambari-azul-listrado</t>
  </si>
  <si>
    <t>Mobula birostris</t>
  </si>
  <si>
    <t>boca-de-gaveta, raia-jamanta, raia-manta</t>
  </si>
  <si>
    <t>uiraçu-falso</t>
  </si>
  <si>
    <t>Mustelus canis</t>
  </si>
  <si>
    <t>bico-doce, boca-de-velha, bodinho, cola-fina</t>
  </si>
  <si>
    <t>Mustelus fasciatus</t>
  </si>
  <si>
    <t>cação-listrado, cação-malhado</t>
  </si>
  <si>
    <t>Tubarão-bico-doce-pintado</t>
  </si>
  <si>
    <t>Faquinha-arredondada, Marisco de água doce</t>
  </si>
  <si>
    <t>Invertebrados de água doce</t>
  </si>
  <si>
    <t>badejo, badejo-amarelo</t>
  </si>
  <si>
    <t>Myleus tiete</t>
  </si>
  <si>
    <t>Pacu-prata</t>
  </si>
  <si>
    <t>raia-amarela, raia-manteiga, raia-sapo</t>
  </si>
  <si>
    <t>Myliobatis goodei</t>
  </si>
  <si>
    <t>raia-águia-do-sul</t>
  </si>
  <si>
    <t>Myliobatis ridens</t>
  </si>
  <si>
    <t>raia-manteiga, raia-sapo</t>
  </si>
  <si>
    <t>Morcego-borboleta-avermelhado</t>
  </si>
  <si>
    <t>raia-elétrica, treme-treme</t>
  </si>
  <si>
    <t>Notorynchus cepedianus</t>
  </si>
  <si>
    <t>cação-bruxa, tubarão-de-sete-fendas-pintado</t>
  </si>
  <si>
    <t>maçarico-de-bico-torto</t>
  </si>
  <si>
    <t>Borboleta</t>
  </si>
  <si>
    <t>Invertebrados Terrestres</t>
  </si>
  <si>
    <t>Odontostomus dautzenbergianus</t>
  </si>
  <si>
    <t>maria-leque-do-sudeste</t>
  </si>
  <si>
    <t>Canguçu, Onça-pintada, Onça-preta</t>
  </si>
  <si>
    <t>pararu-espelho</t>
  </si>
  <si>
    <t>Parides tros</t>
  </si>
  <si>
    <t>Borboleta, rabo-de-andorinha</t>
  </si>
  <si>
    <t>maria-da-restinga</t>
  </si>
  <si>
    <t>Cachalote</t>
  </si>
  <si>
    <t>caneleirinho-de-chapéu-preto</t>
  </si>
  <si>
    <t>patinho-de-asa-castanha</t>
  </si>
  <si>
    <t>Boto-amarelo, Boto-cachimbo, Manico, Toninha</t>
  </si>
  <si>
    <t>pardela-preta</t>
  </si>
  <si>
    <t>pardela-de-óculos</t>
  </si>
  <si>
    <t>raia-viola, viola</t>
  </si>
  <si>
    <t>Pseudobatos percellens</t>
  </si>
  <si>
    <t>cação-viola, raia-viola, viola</t>
  </si>
  <si>
    <t>Pintado, Surubim, Surubim-pintado</t>
  </si>
  <si>
    <t>grazina-de-barriga-branca</t>
  </si>
  <si>
    <t>Pulsatrix perspicillata</t>
  </si>
  <si>
    <t>murucututu</t>
  </si>
  <si>
    <t>Rhinoptera brasiliensis</t>
  </si>
  <si>
    <t>Raia-beiço-de-boi</t>
  </si>
  <si>
    <t>emplastro, raia-santa</t>
  </si>
  <si>
    <t>Macaco-prego, macaco-prego-do-papo-amarelo</t>
  </si>
  <si>
    <t>Limpa-fundo</t>
  </si>
  <si>
    <t>macuquinho-da-várzea</t>
  </si>
  <si>
    <t>Boto, Boto-cinza</t>
  </si>
  <si>
    <t>cachorro-do-mato-vinagre, cachorro-vinagre</t>
  </si>
  <si>
    <t>Tubarão-marcelo</t>
  </si>
  <si>
    <t>Sphyrna zygaena</t>
  </si>
  <si>
    <t>cambeva, cambeva-preta, cambevota, tubarão-martelo, tubarão-martelo-liso</t>
  </si>
  <si>
    <t>Lambari</t>
  </si>
  <si>
    <t>cigarra-verdadeira</t>
  </si>
  <si>
    <t>pixoxó</t>
  </si>
  <si>
    <t>caboclinho-de-barriga-vermelha</t>
  </si>
  <si>
    <t>caboclinho-de-barriga-preta</t>
  </si>
  <si>
    <t>caboclinho-de-papo-branco</t>
  </si>
  <si>
    <t>Squatina argentina</t>
  </si>
  <si>
    <t>cação-anjo-de-asa-longa, tubarão-anjo-argentino</t>
  </si>
  <si>
    <t>cação-anjo-espinhoso, cação-anjo-espinhudo</t>
  </si>
  <si>
    <t>cação-anjo-de-asa-curta, tubarão-anjo-oculto</t>
  </si>
  <si>
    <t>Surubim-do-iguaçu</t>
  </si>
  <si>
    <t>Iguaninha-azul, Lagarto-das-pedras, Lagratixa-azul</t>
  </si>
  <si>
    <t>trinta-réis-de-bico-vermelho</t>
  </si>
  <si>
    <t>emplastro-bicudo, raia-emplastro</t>
  </si>
  <si>
    <t>emplastro-amarelo, raia-emplastro</t>
  </si>
  <si>
    <t>Anta</t>
  </si>
  <si>
    <t>Queixada</t>
  </si>
  <si>
    <t>albatroz-de-nariz-amarelo</t>
  </si>
  <si>
    <t>trinta-réis-real</t>
  </si>
  <si>
    <t>socó-boi-escuro</t>
  </si>
  <si>
    <t>apuim-de-costas-pretas</t>
  </si>
  <si>
    <t>águia-cinzenta</t>
  </si>
  <si>
    <t>Raia-viola, viola</t>
  </si>
  <si>
    <t>Estilete</t>
  </si>
  <si>
    <t>Dados insuficientes</t>
  </si>
  <si>
    <t>Faquinha-truncada</t>
  </si>
  <si>
    <t>gaivota-de-rabo-preto</t>
  </si>
  <si>
    <t>Não aplicável</t>
  </si>
  <si>
    <t>Sanã-cinza</t>
  </si>
  <si>
    <t>trinta-réis-de-bando</t>
  </si>
  <si>
    <t>burriquete, corvina-negra, miragaia</t>
  </si>
  <si>
    <t>Peixes Marinhos (Ósseos)</t>
  </si>
  <si>
    <t>cação-estrela, tubarão-baleia, tubarão-estrela</t>
  </si>
  <si>
    <t>papagaio-de-cara-roxa</t>
  </si>
  <si>
    <t>cochó, corocoxó-do-litoral, pião-batata, sabiá-pimenta</t>
  </si>
  <si>
    <t>jaó-do-sul</t>
  </si>
  <si>
    <t>ouriço-do-mar</t>
  </si>
  <si>
    <t>Barbado, Bugio-preto, Guariba-preto</t>
  </si>
  <si>
    <t>Lambari-azul</t>
  </si>
  <si>
    <t>Sapinho-da-barriga-colorida, Sapinho-mão-vermelha-de-Torres, Sapinho-narigudo-de-barriga-vermelha</t>
  </si>
  <si>
    <t>Veste-amarela</t>
  </si>
  <si>
    <t>estrela-do-mar</t>
  </si>
  <si>
    <t>Chupa-dente</t>
  </si>
  <si>
    <t>Choca-da-mata</t>
  </si>
  <si>
    <t>Lobo-marinho-sul-americano</t>
  </si>
  <si>
    <t>Lobo-marinho-subantártico</t>
  </si>
  <si>
    <t>Lobo-marinho-antártico</t>
  </si>
  <si>
    <t>Leão-marinho-do-sul, Leão-marinho-sul-americano</t>
  </si>
  <si>
    <t>Elefante-marinho-do-sul</t>
  </si>
  <si>
    <t>Foca-caranguejeira</t>
  </si>
  <si>
    <t>Foca-leopardo</t>
  </si>
  <si>
    <t>Golfinho-nariz-de-garrafa</t>
  </si>
  <si>
    <t>Baleia corcunda, Baleia de bossa, Baleia de corcova, Baleia Jubarte, Baleia preta</t>
  </si>
  <si>
    <t>Mergulhão-grande</t>
  </si>
  <si>
    <t>batuíra-de-bando</t>
  </si>
  <si>
    <t>Piru-piru</t>
  </si>
  <si>
    <t>vira-pedras</t>
  </si>
  <si>
    <t>Maçarico-branco</t>
  </si>
  <si>
    <t>mandrião-antártico</t>
  </si>
  <si>
    <t>mandrião-chileno</t>
  </si>
  <si>
    <t>mandrião-parasítico</t>
  </si>
  <si>
    <t>Gaivota-maria-velha</t>
  </si>
  <si>
    <t>Gaivotão</t>
  </si>
  <si>
    <t>Talha-mar</t>
  </si>
  <si>
    <t>trinta-réis-anão, trinta-réis-pequeno</t>
  </si>
  <si>
    <t>trinta-réis-boreal</t>
  </si>
  <si>
    <t>trinta-réis-de-coroa-branca</t>
  </si>
  <si>
    <t>pinguim-de-magalhães</t>
  </si>
  <si>
    <t>albatroz-de-sobrancelha</t>
  </si>
  <si>
    <t>petrel-grande</t>
  </si>
  <si>
    <t>bobo-escuro, pardela-escura</t>
  </si>
  <si>
    <t>bobo-pequeno, pardela-sombria</t>
  </si>
  <si>
    <t>tesourão</t>
  </si>
  <si>
    <t>atobá-pardo</t>
  </si>
  <si>
    <t>Biguá</t>
  </si>
  <si>
    <t>garça-vaqueira</t>
  </si>
  <si>
    <t>garça-moura</t>
  </si>
  <si>
    <t>garça-branca-pequena</t>
  </si>
  <si>
    <t>urubu, urubu-de-cabeça-preta</t>
  </si>
  <si>
    <t>abrótea-de-penacho, abrótea-verdadeira, bacalhau-brasileiro, brazilian codling</t>
  </si>
  <si>
    <t>cascudo, corvina</t>
  </si>
  <si>
    <t>maria-mole, pescada-olhuda</t>
  </si>
  <si>
    <t>boca-mole, boca-torta, goete, pescada-branca, pescada-chata</t>
  </si>
  <si>
    <t>betara-branca, betara-claro, papa-terra</t>
  </si>
  <si>
    <t>betara, betara-escuro, betara-preta, papa-terra</t>
  </si>
  <si>
    <t>canguá, coroque, juruna, maria-luiza</t>
  </si>
  <si>
    <t>castanha, corvina-branca, corvina-riscada</t>
  </si>
  <si>
    <t>aratã, arauja, corvina-mole, juruapara, pescada-dentuça, pescadinha, pescadinha-real</t>
  </si>
  <si>
    <t>anchova ou anchovinha</t>
  </si>
  <si>
    <t>espada</t>
  </si>
  <si>
    <t>tainha liza</t>
  </si>
  <si>
    <t>tainha-olho-de-fogo</t>
  </si>
  <si>
    <t>tainha</t>
  </si>
  <si>
    <t>sardinha-verdadeira</t>
  </si>
  <si>
    <t>Savelha</t>
  </si>
  <si>
    <t>Sardinha-cascuda</t>
  </si>
  <si>
    <t>Sardinha-manjuba</t>
  </si>
  <si>
    <t>Sardinha</t>
  </si>
  <si>
    <t>Anchoita</t>
  </si>
  <si>
    <t>Dente-de-leão</t>
  </si>
  <si>
    <t>Manjuba</t>
  </si>
  <si>
    <t>Manjubão</t>
  </si>
  <si>
    <t>Barriga-Listada, Bonito-Rajado, Bonito-Rei</t>
  </si>
  <si>
    <t>peixe-rei, peixe-rei-marinho</t>
  </si>
  <si>
    <t>Pargo-rosa</t>
  </si>
  <si>
    <t>Bagre</t>
  </si>
  <si>
    <t>Xaréu</t>
  </si>
  <si>
    <t>Gordinho</t>
  </si>
  <si>
    <t>Pampo</t>
  </si>
  <si>
    <t>Xerelete</t>
  </si>
  <si>
    <t>linguado, linguado-do-gancho, linguado-remo</t>
  </si>
  <si>
    <t>peixe-cachimbo-estrela, Peixe-rei-agulha,</t>
  </si>
  <si>
    <t>Enxada, Paru, Paru branco</t>
  </si>
  <si>
    <t>corcoroca, corcoroca-de-lama, corcoroca-de-pedra</t>
  </si>
  <si>
    <t>camurim-branco, camurim-peva, robalo-peva</t>
  </si>
  <si>
    <t>vieira</t>
  </si>
  <si>
    <t>Em perigo</t>
  </si>
  <si>
    <t>rã-manezinha, rãzinha-do-folhiço-da-ilha</t>
  </si>
  <si>
    <t>budião-banana, papagaio-banana, peixe-papagaio-banana</t>
  </si>
  <si>
    <t>Peixe-papagaio-cinza</t>
  </si>
  <si>
    <t>badejo, badejo-quadrado, Sirigado</t>
  </si>
  <si>
    <t>raia-manteiga, raia-prego</t>
  </si>
  <si>
    <t>cavalinho, cavalinho-do-mar, cavalo-marinho, hipocampo</t>
  </si>
  <si>
    <t>albatroz-de-tristão</t>
  </si>
  <si>
    <t>Criticamente em perigo</t>
  </si>
  <si>
    <t>albatroz-errante, albatroz-gigante</t>
  </si>
  <si>
    <t>lobinho-de-rio, Lontra, lontra neotropical, lontrinha</t>
  </si>
  <si>
    <t>Ituí</t>
  </si>
  <si>
    <t>Surubim</t>
  </si>
  <si>
    <t>bugio-ruivo</t>
  </si>
  <si>
    <t>Azara's Agouti, Cutia</t>
  </si>
  <si>
    <t>Coati, Quati, Quati-de-vara, Quati-mundéo</t>
  </si>
  <si>
    <t>Caracol</t>
  </si>
  <si>
    <t>abelha-de-solo</t>
  </si>
  <si>
    <t>pedreiro</t>
  </si>
  <si>
    <t>Caranguejo-uça</t>
  </si>
  <si>
    <t>Guará</t>
  </si>
  <si>
    <t>Gralha-azul</t>
  </si>
  <si>
    <t>veado-mateiro</t>
  </si>
  <si>
    <t>paca</t>
  </si>
  <si>
    <t>Veado-campeiro; Veado-branco; Veado-galheiro</t>
  </si>
  <si>
    <t>EN</t>
  </si>
  <si>
    <t>VU</t>
  </si>
  <si>
    <t>CR</t>
  </si>
  <si>
    <t>Ato legal</t>
  </si>
  <si>
    <t>Informações sobre Espécies Ameaçadas da fauna e Gestão da Biodiversidade nas UCs federais do Sul</t>
  </si>
  <si>
    <t>Vigência início (oficialização)</t>
  </si>
  <si>
    <t>Vigência final (previsto)</t>
  </si>
  <si>
    <t>Todas da região Sul</t>
  </si>
  <si>
    <t>Portaria ICMBio 646 (09/08/2022)</t>
  </si>
  <si>
    <t>Portaria ICMBio 208 (14/03/2018)</t>
  </si>
  <si>
    <t>Portaria ICMBio 530 (17/08/2017)</t>
  </si>
  <si>
    <t>Portaria ICMBio 856 (26/12/2017)</t>
  </si>
  <si>
    <t>Portaria ICMBio 286 (04/04/2018)</t>
  </si>
  <si>
    <t>Portaria ICMBio 378 (24/04/2018)</t>
  </si>
  <si>
    <t>Portaria ICMBio 491 (10/09/2019)</t>
  </si>
  <si>
    <t>Portaria ICMBio 3369 (04/10/2023)</t>
  </si>
  <si>
    <t>Portaria ICMBio 3888 (12/12/2024)</t>
  </si>
  <si>
    <t>Portaria ICMBio 167 (17/01/2024)</t>
  </si>
  <si>
    <t>Portaria ICMBio 612 (22/06/2018)</t>
  </si>
  <si>
    <t>Portaria ICMBio 664 (06/07/2018)</t>
  </si>
  <si>
    <t>Portaria ICMBio 356 (25/07/2019)</t>
  </si>
  <si>
    <t>Portaria ICMBio 493 (21/06/2022)</t>
  </si>
  <si>
    <t>Portaria ICMBio 560 (5/07/2022)</t>
  </si>
  <si>
    <t>Portaria ICMBio 561 (4/07/2022)</t>
  </si>
  <si>
    <t>Portaria ICMBio 19 (09/03/2016)</t>
  </si>
  <si>
    <t>Portaria ICMBio 751 (27/08/2018)</t>
  </si>
  <si>
    <t>Portaria ICMBio 767 (24/11/2017)</t>
  </si>
  <si>
    <t>Portaria ICMBio 370 (01/08/2019)</t>
  </si>
  <si>
    <t>Portaria ICMBio 375 (01/08/2019)</t>
  </si>
  <si>
    <t xml:space="preserve">Portaria ICMBio 655 (04/11/2019) </t>
  </si>
  <si>
    <t>Portaria ICMBio 500 (10/09/2019)</t>
  </si>
  <si>
    <t>Portaria ICMBio 534 (27/06/2022)</t>
  </si>
  <si>
    <t>Portaria ICMBio 350 (23/07/2019)</t>
  </si>
  <si>
    <t>Portaria ICMBio 287 (26/04/2017)</t>
  </si>
  <si>
    <t>Portaria ICMBio 1544 (22/05/2024)</t>
  </si>
  <si>
    <t>Portaria ICMBio 702 (07/08/2018)</t>
  </si>
  <si>
    <t>Aguardando Portaria</t>
  </si>
  <si>
    <t>*Todas das região Sul</t>
  </si>
  <si>
    <t>Informações básicas dos PAN para conservação da fauna ameaçada, com abrangência geográfica na região Sul, encontradas no banco de dados abertos do ICMBio e checadas pela equipe COPAN.  
Informações: Centro de Pesquisa Nacional responsável/Código do PAN; nome do PAN; status de vigência (finalizado ou em execução); período de vigência (início e fim); portaria oficial; n° do processo no SEI; polígono disponível no site ICMBio e INDE; UCs federais na área de abrangência ou estratégica do PAN (mais refinada), conferência com os shapes de distribuição a partir dos dados disponíveis); UCs envolvidas em ação ou projeto vinculado (dados do Diagnóstico); site oficial do PAN.</t>
  </si>
  <si>
    <t>Informações sobre projetos realizado nas UCs associados às espécies (sugestão para levantamento e monitoramento)</t>
  </si>
  <si>
    <t>Portaria ICMBio 170 (17/01/2024)</t>
  </si>
  <si>
    <t>Portaria ICMBio 3903 (12/12/2024)</t>
  </si>
  <si>
    <t>Todas do Paraná, exceto PARNA Ilhas dos Currais
FLONA de Três Barras</t>
  </si>
  <si>
    <t>Aves Marinhas - 1º ciclo</t>
  </si>
  <si>
    <t>*APA da Baleia Franca</t>
  </si>
  <si>
    <t>Dados sobre gestão e biodiversidade</t>
  </si>
  <si>
    <t>Planilha de espécies gerada pela COFAU (SEI 16784990) - processo 02070.003032/2023-63 de Priorização de demandas para Planos de Manejo -, atualizada pela equipe da COPAN dados brutos SALVE interno, em out/2024.</t>
  </si>
  <si>
    <t>Planilha gerada pela DMAG (SEI 16718099) - processo 02070.003032/2023-63 de Priorização de demandas para Planos de Manejo (COMAN) -, de nov/2023.</t>
  </si>
  <si>
    <t>Planilha gerada pela COESP (SEI 16871066) - processo 02070.003032/2023-63 de Priorização de demandas para Planos de Manejo (COMAN) - de nov/2023.</t>
  </si>
  <si>
    <t>Quantidade de Planos de Ação Nacional que a UC está inserida nas respectivas áreas de abrangência, considerando PANs finalizados, vigentes ou renovados até 2024.</t>
  </si>
  <si>
    <t>PR/MS</t>
  </si>
  <si>
    <t>9. Em áreas de abrangência de PRIM
(COESP)</t>
  </si>
  <si>
    <t>Em área de abrangência ou estratégica de PAN
(COPAN, 2024)</t>
  </si>
  <si>
    <t>Sem informação</t>
  </si>
  <si>
    <t>Desconhece</t>
  </si>
  <si>
    <t>Possui interesse em participar de PAN - Interface motivadora</t>
  </si>
  <si>
    <t>Participação efetiva em PANs - ação significante (finalizado ou em execução)</t>
  </si>
  <si>
    <t>Proteção de espécies aquáticas;
Programa Monitora;
Ordenamento territorial e aquático;
Aves migratórias;
Praias arenosas;
Mata Atlântica;
Papagaio-da-cara-roxa;
Mico-leão-da-cara-preta,
Palmeira Jussara;
Manguezais;
Sítios arqueológicos (sambaquis);
Espécies exóticas invasoras;
Comunidades caiçaras.</t>
  </si>
  <si>
    <t>riti.santos@icmbio.gov.br</t>
  </si>
  <si>
    <t>Riti Soares dos Santos</t>
  </si>
  <si>
    <t>Sim 
Todos os PANs que envolve o PARNA Lagoa do Peixe</t>
  </si>
  <si>
    <t>luis.tinoco@icmbio.gov.br</t>
  </si>
  <si>
    <t>Luis Eduardo Freitas Tinoco</t>
  </si>
  <si>
    <t>stephano.ridolfi@icmbio.gov.br</t>
  </si>
  <si>
    <t>Stephano Diniz Ridolfi</t>
  </si>
  <si>
    <t>Atuação na proteção das baleias</t>
  </si>
  <si>
    <t>fabiana.bertoncini@icmbio.gov.br</t>
  </si>
  <si>
    <t>Fabiana Bertoncini</t>
  </si>
  <si>
    <t>Não há envolvimento.</t>
  </si>
  <si>
    <t>paulo.santi@icmbio.gov.br</t>
  </si>
  <si>
    <t>Paulo Santi Cardoso Da Silva</t>
  </si>
  <si>
    <t>Percebemos muito potencial na ação dos PAN, no entanto, devido a equipe abaixo da necessidade da gestão, não temos disponibilidade para atuação.</t>
  </si>
  <si>
    <t>As agendas internas da UC não permitem atuação ativa nos PANs.</t>
  </si>
  <si>
    <t>homero.salazar-filho@icmbio.gov.br</t>
  </si>
  <si>
    <t>Homero De Oliveira Salazar Filho</t>
  </si>
  <si>
    <t>lourdes.tomazi@icmbio.gov.br</t>
  </si>
  <si>
    <t>Lourdes Teresinha Tomazi</t>
  </si>
  <si>
    <t>mateus.santos@icmbio.gov.br</t>
  </si>
  <si>
    <t>Mateus Velho dos Santos</t>
  </si>
  <si>
    <t>Sim. Conforme disponibilidade no apoio técnico e trabalhos de campo.</t>
  </si>
  <si>
    <t>antonio.correia-junior@icmbio.gov.br</t>
  </si>
  <si>
    <t>Antonio De Almeida Correia Junior</t>
  </si>
  <si>
    <t>Devido à falta de pessoal com lotação neste NGI não é possivel ampliar participação nos PANs.</t>
  </si>
  <si>
    <t>Conservação das espécies ameaçadas ocorrentes nos territórios.</t>
  </si>
  <si>
    <t>jose.melo@icmbio.gov.br</t>
  </si>
  <si>
    <t>Jose Pedro Da Mota Melo</t>
  </si>
  <si>
    <t>rodrigo.torres@icmbio.gov.br</t>
  </si>
  <si>
    <t>Rodrigo Filipak Torres</t>
  </si>
  <si>
    <t>enio.graboski@icmbio.gov.br</t>
  </si>
  <si>
    <t>Enio Jose Graboski</t>
  </si>
  <si>
    <t>adao.gullich@icmbio.gov.br</t>
  </si>
  <si>
    <t>Adao Luiz Da Costa Gullich</t>
  </si>
  <si>
    <t>Preservar o hábitat das espécies ameaçadas com ocorrência no território da UC.</t>
  </si>
  <si>
    <t>Plano de Manejo é o único instrumento que temos inferência no atual momento.</t>
  </si>
  <si>
    <t>PAN Baixo Iguaçu - conservação do surubim-do-iguaçu;
PAN Aves da Mata Atlântica - conservação da jacutinga e outras espécies alvo de caça, observação de aves;
PAN Grandes Felinos - conservação e redução da caça, mitigação de impactos rodoferroviários.</t>
  </si>
  <si>
    <t>Gestão de conflitos - Acordo de Cooperação com o Refúgio Biológico de Itaipu
Conservação da avifauna - Parque das Aves
Pesquisa sobre biodiversidade - Termo de Convênio com a Fundação Araucária</t>
  </si>
  <si>
    <t>Diminuição dos conflitos com o entorno do Parque;
Proteção da malha hídrica;
Reestabelecimento da conectividade com os fragmentos florestais do entorno;
Apoio à bioeconomia e fomento a atividades de menor impacto no entorno do PNI;
Pesquisa e conservação dos pequenos e grandes felinos, espécies bandeira e guarda-chuva.</t>
  </si>
  <si>
    <t>PAN Lagoas do Sul</t>
  </si>
  <si>
    <t>Falta recursos humanos;
Falta de parcerias;
Dificuldade na idenificação de prioridades.</t>
  </si>
  <si>
    <t>Falta recursos humanos e financeiros;
Falta de parcerias;
Dificuldade na idenificação de prioridades.</t>
  </si>
  <si>
    <t>PAN Herpetofauna do Sul - acompanhamento de pesquisadores e reuniões com Prefeitura;
PAN Aves Campos Sulinos - participação em algumas atividades</t>
  </si>
  <si>
    <t>PAN Baixo Iguaçu - reforço populacional do surubim-do-iguaçu;
PAN Herpetofauna do Sul - ampliação do conhecimento e conservação da herpetofauna;
PAN Insetos polinizadores - estratégia de recuperação e conectividade florestal, uso sustentável de mel;
PAN Pequenos Felinos - investigação de impactos por animais domésticos, mitigação de impactos rodoferroviários.</t>
  </si>
  <si>
    <t>Todos os PANs - As informações dos PAN servem na gestão da UC, principalmente para subsidiar os processos de licenciamento, autorizações diretas e as ações de fiscalização ambiental. Recomendações para alterações no Plano de Manejo são importantes documentos que deveriam ser gerados pelos diferentes PAN;
PAN Rivulídeos - espécie Australebias periodicus é endêmica na região.</t>
  </si>
  <si>
    <t>Proteção das espécies ameaçadas de extinção em âmbito regional;
Considerar as espécies no licenciamento ambiental e em ações fiscalizatórias.</t>
  </si>
  <si>
    <t>O PAN Herpetofauna Sul enviou recomendações de espécies a serem protegidas.</t>
  </si>
  <si>
    <t>PANs Peixes e eglas, Pequenos felinos, Pequenos mamíferos e outros com espécies de Mata Atlântica - oportunidade para estudos/levantamentos sobre as espécies</t>
  </si>
  <si>
    <t xml:space="preserve">PAN Tubarões e Raias e PAN Corais - ações de fiscalização em ambientes aquáticos/marinhos dos PANs deveriam ser implementadas ou intensificadas nas UCs. </t>
  </si>
  <si>
    <t xml:space="preserve">PAN Manguezais - ações de fiscalização em ambientes aquáticos/marinhos dos PANs deveriam ser implementadas ou intensificadas nas UCs. </t>
  </si>
  <si>
    <t>PAN Pequenos Cetáceos (possível) - monitoramento do boto Sotalia guianensis e golfinhos</t>
  </si>
  <si>
    <t>PAN Manguezais (Possível) - relação com as atividades do Monitora manguezal;
PAN Albatrozes e Petréis - projeto Banco de Amostras de Albatrozes e Petréis (BAAP);
O NGI também tem apoiado a base sul do CEMAVE com empréstimo de veículos e serviços administrativos para ações do PAN Aves dos Campos sulinos.</t>
  </si>
  <si>
    <t>PAN Aves Marinhas e Albatrozes e petréis (Possível) - monitoramento  de aves marinhas e ninhais
PAN corais (Possível) - monitoramento dos corais e controle do coral sol;
PAN pequenos cetáceos (Possível) - monitoramento de cetáceos.</t>
  </si>
  <si>
    <t>PAN Manguezais (Possível) - relação com as atividades do Monitora manguezal</t>
  </si>
  <si>
    <t>Falta recursos humanos;
Poucas parcerias.</t>
  </si>
  <si>
    <t>O monitoramento das aves está associado a projeto SISBIO 79902; Treinamento de condutores de escunas (ciência cidadã).</t>
  </si>
  <si>
    <t>O monitoramento de corais é feito em parceria com pesquisadores da UFSC. Há monitoramento frequente de aves (dados/divulgação)</t>
  </si>
  <si>
    <t>Levantamentos básicos sobre a fauna da mata atlântica e marinha para direcionar as ações de conservação, licenciamento e de uso público;
Ações de educação ambiental e de uso público.</t>
  </si>
  <si>
    <t>Estudos e monitoramento para entender as relações com o entorno, e dos recursos protegidos explorados, tais como o berbigão e os caranguejos;
Ações de educação ambiental e de uso público.</t>
  </si>
  <si>
    <t>Ações de educação ambiental.</t>
  </si>
  <si>
    <t>As UCs do NGI ICMBio Florianópolis e os seus planos de manejo, pelo menos nos últimos três anos, não tem sido objeto de ações específicas dos Centros de Pesquisa, e as parcerias dependem do interesse das Universidades e projetos específicos.</t>
  </si>
  <si>
    <t>PAN Ungulados - estratégias de conservação da anta;
PAN de Primatas da Mata Atlântica - estratégias de conservação do bugio;
PAN Herptofauna do Sul - estratégias de conservação de Brachycephalus.</t>
  </si>
  <si>
    <t>PAN de Primatas da Mata Atlântica - estratégias de conservação do bugio e muriqui.</t>
  </si>
  <si>
    <t>Elaboração do Plano de Pesquisa;
Programa de Monitoramento de mamíferos de grande e médio porte;
Proteção/uso dos campos altomontanos.</t>
  </si>
  <si>
    <t>Monitorameto de grandes mamíferos - Um pesquisador faz monitoramnento de anta no Parque Nacional Guaricana associado ao PAN Rivilídeos. Gostaríamos de ser envolvidos.</t>
  </si>
  <si>
    <t>Falta recursos humanos e financeiros;
Falta de parcerias;
Pouco conhecimento em gestão e específico para conservação;
Dificuldade na idenificação de prioridades.</t>
  </si>
  <si>
    <t>Falta recursos humanos;
Poucas parcerias;
Pouco conhecimento em gestão e específico;
Dificuldade na gestão de conflitos com o entorno;
Dificuldade na idenificação de prioridades.</t>
  </si>
  <si>
    <t>Falta recursos humanos e financeiros;
Falta de parcerias;
Pouco conhecimento em gestão e específico para conservação;
Dificuldade na gestão de conflitos com o entorno;
Dificuldade na identificação de prioridades;
Falta de lista de espécies a ser fornecida para as UCs.</t>
  </si>
  <si>
    <t>Pouco recurso humano;
Pouco conhecimento de gestão e específicos para conservação;
Dificuldade na gestão de conflitos com o entorno.</t>
  </si>
  <si>
    <t xml:space="preserve">PAN Corais - pouco conhecimento disponível sobre os corais incidentes nas Ucs;
PANs de aves e mamíferos - região importante para espécies de aves migratórias e outras e remanescente de Mata Atlântica.
</t>
  </si>
  <si>
    <t>PAN Aves da Mata Atlântica - conservação do papagaio-da-cara-roxa;
PAN Papagaios - conservação do papagaio-da-cara-roxa;
PAN Primatas da Mata Atlântica e da Preguiça-de-Coleira -  conservação do mico-leão-da-cara-preta;
PAN Manguezal - atuante;
PAN Tubarões - atuante.</t>
  </si>
  <si>
    <t xml:space="preserve">Proteção de espécies aquáticas;
Ordenamento territorial e aquático;
Aves migratórias;
Praias arenosas;
Conservação de espécies da Mata Atlântica, principalmente o Papagaio-da cara -roxa, Mico-leão-da-cara-preta e Palmeira Jussara;
Manguezais;
Sítios arqueológicos (sambaquis);
Comunidades caiçaras. </t>
  </si>
  <si>
    <t xml:space="preserve">Pesquisa e gestão integradas como ferramenta de proteção do Mico-Leão-de-cara-preta (Leontopithecus caissara) e do Lagamar (02127.003336/2018-61
02127.000858/2018-19), PAN Cetaceos, Toninhas, Corais, etc. (02070.002025/2011-19).
Licenciamento Pré-Sal Bacia de Santos;
PAN Manguezal (02070.007720/2022-11);
PAN Tubarões (02127.000820/2021-33);
Termo de Compromisso cerco-fixo (02127.002350/2023-12);
Bolsista pró-espécies, espécies exóticas.
</t>
  </si>
  <si>
    <t>Pouco recurso humano;
Pouco conhecimento de gestão e específicos para conservação.</t>
  </si>
  <si>
    <t xml:space="preserve">Conservação das aves marinhar e migratórias e toninhas;
Participar de PANs como Lagoas do sul, Tubarões, Aves marinhas.
</t>
  </si>
  <si>
    <t>PAN Aves limícolas migratórias;
PAN Lagoas do Sul</t>
  </si>
  <si>
    <t>Ações do PAN das Aves e PAN  das Lagoas do sul</t>
  </si>
  <si>
    <t xml:space="preserve">Desconheço / falta tempo hábil / agenda de licenciamento pesa;
PAN Ariranhas - Monitorar aparição de ariranha e resguardar seu habitat, ampliar o conhecimento público sobre a espécie </t>
  </si>
  <si>
    <t>PAN Ariranhas - Monitorar aparição de ariranha;
Ictiofauna -o PAN bacia do Paraná parece não ter nos ouvido</t>
  </si>
  <si>
    <t>Falta de recursos humanos e financeiro;
Dificuldade na gestão de conflitos com o entorno.</t>
  </si>
  <si>
    <t>Fiscalização e proteção;
Plano de manejo (da APA ilhas e Várzeas em construção).</t>
  </si>
  <si>
    <t>PAN Aves limícolas migratórias - levantamento de espécies junto a instituições</t>
  </si>
  <si>
    <t>Proteção do habitat das baleias franca e demais animais de mesmo habitat;
Conservação das espécies, principamente espécies endêmicas, realizando articulação com universidades e centros de pesquisa.</t>
  </si>
  <si>
    <t>PAN Pequenos Mamíferos - participação em reunião para ações educativas em relação ao tuco-tuco-das-dunas;
PAN Cetáceos Marinhos e Toninhas (potencial) - há instituições na região que realizam monitoramento de Baleias Franca, de Toninhas e de Golfinhos</t>
  </si>
  <si>
    <t>Falta de recursos humanos e financeiro;
Pouco conhecimento em gestão e específicos para conservação;
Dificuldade na gestão de conflitos com o entorno;
Dificuldade na identificação de prioridades.</t>
  </si>
  <si>
    <t>PAN Aves da Mata Atlântica;
PAN Grandes felinos.</t>
  </si>
  <si>
    <t>Prioridades de gestão para conservação da biodiversidade com interface com PAN</t>
  </si>
  <si>
    <t>Ações relacionadas ao PM; Conselho Consultivo; Rede de FLONAs do Sul; PTE.</t>
  </si>
  <si>
    <t>Falta de recursos humanos e financeiro;
Pouco conhecimento específicos para conservação.</t>
  </si>
  <si>
    <t>PAN Papagaios</t>
  </si>
  <si>
    <t>Falta de recursos humanos e financeiro;
Falta de conhecimento em gestão e específicos para conservação;
Dificuldade na identificação de prioridades.</t>
  </si>
  <si>
    <t>PAN Papagaios;
PAN Onça parda.</t>
  </si>
  <si>
    <t>Falta de recursos humanos e financeiro;
Poucas parcerias;
Pouco conhecimento em gestão e específicos para conservação;
Dificuldade na gestão de conflitos com o entorno.</t>
  </si>
  <si>
    <t>PAN Lagoas do Sul - colaborar de 2 ações;
PAN Tubarões e Raias - colaborar de 9 ações.</t>
  </si>
  <si>
    <t xml:space="preserve">No momento não, estamos com apenas dois servidores na UC e com outras ações prioritárias.  </t>
  </si>
  <si>
    <t>Programa de Voluntariado (02127.001945/2017-02);
Monitoramento da qualidade ambiental do Rio Mampituba (02127.000987/2025-28)</t>
  </si>
  <si>
    <t>Monitoramento da biodiversidade</t>
  </si>
  <si>
    <t>O monitorameto das aves é contemplado no Programa Monitora;
O monirotamento dos pinípedes (lobos e leões-marinhos) são monitorados voluntariamente pela UC</t>
  </si>
  <si>
    <t>Falta de recursos humanos;
Pouco conhecimento em gestão.</t>
  </si>
  <si>
    <t>PAN Herpetofauna do Sul</t>
  </si>
  <si>
    <t>PAN Aves da Mata Atlântica, Grandes Felinos, Herpetofauna do Sul, Pequenos felinos, Insetos Polinizadores e Pequenos mamíferos áreas florestais - para conservação e educação ambiental</t>
  </si>
  <si>
    <t>Regularização fundiária; 
Programa de pesquisa e monitoramento;
Programa de Proteção e Manejo.</t>
  </si>
  <si>
    <t>no Plano de Manejo</t>
  </si>
  <si>
    <t>Falta de recursos humanos e financeiro;
Poucas parcerias;
Falta de conhecimento em gestão;
Ausência de regularização fundiária;
Dificuldade na gestão de conflitos com o entorno;
Dificuldade na identificação de prioridades.</t>
  </si>
  <si>
    <t>PAN Aves da Mata Atlântica - Papagaios de peito roxo e charão são encontrados nos plantios de AA.</t>
  </si>
  <si>
    <t>Falta de recursos humanos e financeiro;
Poucas parcerias;
Falta de conhecimento em gestão e específicos para conservação;
Dificuldade na gestão de conflitos com o entorno;
Dificuldade na identificação de prioridades.</t>
  </si>
  <si>
    <t>Monitorar e acompanhar os trabalhos voltados para a unidade.</t>
  </si>
  <si>
    <t>Falta de recursos humanos e financeiro;
Poucas parcerias;
Pouco conhecimento em gestão e específicos para conservação;
Dificuldade na gestão de conflitos com o entorno;
Dificuldade na identificação de prioridades.</t>
  </si>
  <si>
    <t>PAN Aves dos Campos Sulinos, Insetos Polinizadores, Herpetofauna do Sul e Papagaios - Nesses PANs repassamos informações sobre as UC e participamos das oficinas de forma limitada.</t>
  </si>
  <si>
    <t>Não é possível no momento o envolvimento da unidade, pois estamos apenas com um servidor efetivo presencialmente na unidade que passa por uma demanda de ocupação indígena.</t>
  </si>
  <si>
    <t>Falta de recursos humanos e financeiro;
Falta de parcerias;
Falta de conhecimento em gestão e específicos para conservação;
Dificuldade na gestão de conflitos com o entorno.</t>
  </si>
  <si>
    <t>Conservação do anfíbio Melanophryniscus Cambaraensis, espécie endêmica - garantir a proteção, reprodução e estudos sobre a espécie.</t>
  </si>
  <si>
    <t>PAN Ariranha - Apoio financeiro e logístico em projeto de conservação da lontra neotropical;
PAN Aves da Mata Atlantica - nas redes sociais do NGI; 
PAN Insetos Polinizadores - Participação nas Oficinas de Elaboração;
PAN Aves Marinhas - pequenas contribuições  no Manual de Boas Práticas.</t>
  </si>
  <si>
    <t>Para o Plano de Manejo ação "Necessidade de dados" e para o RVF "Espécies Ameaçadas e Endêmicas"- Realizar estudos ecológicos e demográficos para espécies nativas ameaçadas e endêmicas;
Atualizar e sistematizar a inserção do PNSHL nos Planos de Ação Nacionais para espécies ameaçadas.
Plano de Pesquisa e Gestão da Informação da UC (a elaborar);
Plano de prevenção, controle, erradicação e monitoramento de Espécies Exóticas Invasoras (EEI) (em elaboração); 
Plano de Restauração de Áreas Degradadas (em elaboração);
Planejamento e execução de atividades de fiscalização e educação ambiental (planos elaborados).
O PN Marinho das Ilhas dos Currais ainda não dispõe de Plano de Manejo ou outro planejamento, além do Planejamento Simplificado de Fiscalização – PFIS.</t>
  </si>
  <si>
    <t>Projeto Político Pedagógico Mediado pela Educação Ambiental: SEI 19746003;
Plano de prevenção, controle, erradicação e monitoramento de Espécies Exóticas Invasoras (EEI) e  Plano de Restauração de Áreas Degradadas: SEI 19066103</t>
  </si>
  <si>
    <t>Sim, mas precisamos conhecer quais são as ações previstas nos diversos PANs que estão ocorrendo no território - Elaboração do Plano de Pesquisa e Gestão da Informação do PN Saint-Hilaire/Lange.</t>
  </si>
  <si>
    <t>Falta de recursos humanos;
Poucas parcerias;
Pouco conhecimento em gestão e específicos para conservação;
Dificuldade na gestão de conflitos com o entorno;
Dificuldade na identificação de prioridades.</t>
  </si>
  <si>
    <t xml:space="preserve">Primeiro quero conhecer para depois me envolver no projeto, conforme nosso Plano de Manejo. </t>
  </si>
  <si>
    <t>Manejo de área reflorestadas;
Pesquisa e monitoramento da UC.</t>
  </si>
  <si>
    <t xml:space="preserve"> Espécies ameaçadas de extinção e ações de conservação </t>
  </si>
  <si>
    <t>Falta de recursos humanos e financeiros;
Poucas parcerias;
Pouco conhecimento em gestão e específicos para conservação;
Dificuldade na identificação de prioridades.</t>
  </si>
  <si>
    <t>PAN Aves da Mata Atlântida, Primatas da Mata Atlântica, Pequenos Felinos, Grandes Felinos, Canídeos, Ungulados e Peixes e Eglas da Mata Atlântica - em todos eles temos as espécies estudadas;
Ações de Preservação do Hábitat das espécies estudadas nos PAN's.</t>
  </si>
  <si>
    <t>Falta de recursos humanos e financeiros;
Falta de parcerias;
Falta de conhecimento em gestão e específicos para conservação;
Dificuldade na gestão de conflitos com o entorno;
Dificuldade na identificação de prioridades.</t>
  </si>
  <si>
    <t>Não respondeu ao questionário</t>
  </si>
  <si>
    <t>Número de analistas/técnicos
(DIPLAN, 2024)</t>
  </si>
  <si>
    <t>Perfil UCs do Sul</t>
  </si>
  <si>
    <t xml:space="preserve">    Perfil Diagnóstico - PANs e Gestão da Biodiversidade nas Unidades de Conservação federais do Sul</t>
  </si>
  <si>
    <t>Interfaces com Planos de Ação para a Conservação de Espécies Ameaçadas (dados Questionário PANs nas UCs do Sul/2024)</t>
  </si>
  <si>
    <t>Informações sobre participação em PANs, uso de sistemas, gestão da biodiversidade, dificuladades e prioridades das UCs da região Sul vinculadas à GR5. Baseado em respostas obtidas a partir do questionário-diagnóstico (Diagnóstico PANs nas UCs do Sul) e algumas reuniões curtas com os gestores, em 2024.</t>
  </si>
  <si>
    <t>Interfaces com Planos de Ação para a Conservação de Espécies Ameaçadas</t>
  </si>
  <si>
    <t>Corais - 2º ciclo</t>
  </si>
  <si>
    <t>Corais - 1º ciclo</t>
  </si>
  <si>
    <t>Grandes Felinos - 1º ciclo</t>
  </si>
  <si>
    <t>Grandes Felinos - 2º ciclo</t>
  </si>
  <si>
    <t>Lagoas do Sul - 1º ciclo</t>
  </si>
  <si>
    <t>Lagoas do Sul - 2º ciclo</t>
  </si>
  <si>
    <t>Portaria ICMBio 293 (09/04/2018)</t>
  </si>
  <si>
    <t>02071.000132/2017-80</t>
  </si>
  <si>
    <t>https://www.gov.br/icmbio/pt-br/assuntos/biodiversidade/pan/pan-cerpan</t>
  </si>
  <si>
    <t>Lista de espécies ameaçadas registrada pela UC
(SAMGe e Gov, 2024)</t>
  </si>
  <si>
    <t>Espécies fauna citada como RV
(SAMGe 02/08/2024)</t>
  </si>
  <si>
    <t>Amazona vinacea (papagaio de peito roxo), Ucides cordatus (Caranguejo-uça)</t>
  </si>
  <si>
    <t>Epinephelus itajara (mero),  Ucides cordatus (Caranguejo-uça), Eudocimus ruber (Guará)</t>
  </si>
  <si>
    <t>Corvomeyenia epilithosa (Esponja-corvomênia), Puma concolor (Leão-baio)</t>
  </si>
  <si>
    <t>Monoeca xanthopyga (Abelhas-de-solo)</t>
  </si>
  <si>
    <t>Amadonastur lacernulatus (gavião-pombo-pequeno), Amazona vinacea (papagaio de peito roxo), Leopardus guttulus (Gato do Mato Pequeno), Leopardus pardalis (Jaguatirica), Herpailurus yagouaroundi (mourisco), Alouatta guariba (Bugio), Sapajus cay (macaco-prego-do-papo-amarelo)</t>
  </si>
  <si>
    <t>Fauna ameaçada e endêmica da Mata Atlântica e ambientes campestres, ex. Chrysocyon brachyurus (Lobo-guará), Myrmecophaga tridactyla (Tamanduá-bandeira), Ozotoceros bezoarticus (Veado-campeiro)</t>
  </si>
  <si>
    <t>Tamanduá-bandeira, Bandurra, Jurumi, Jurumim, Papa-formigas</t>
  </si>
  <si>
    <t>Leopardus guttulus (Gato do Mato Pequeno), Leopardus pardalis (Jaguatirica), Chrysocyon brachyurus (Guará), Scytalopus iraiensis (Macuquinho-da-várzea)</t>
  </si>
  <si>
    <t xml:space="preserve">Mata Ciliar de Branquilho
Biodiversidade Gleba Norte
Fauna
Scytalopus iraiensis (Macuquinho-da-várzea)
Floresta Ombrófila Mista
Plantios de Araucária
Campos de Várzeas
Carnívoros  - Puma concolor (Onça Parda), Leopardus guttulus (Gato do Mato Pequeno), Leopardus pardalis (Jaguatirica),  Chrysocyon brachyurus (Guará)
</t>
  </si>
  <si>
    <t>Tabela contendo as espécies ameaçadas da fauna contempladas em Planos de Ação Nacional no Sul, a partir de dados encontrados no banco de dados abertos do ICMBio e checado pela equipe COPAN/ICMBio.</t>
  </si>
  <si>
    <t xml:space="preserve">   Planos de Ação Nacional recentes com área de abrangência nos estados da região Sul (COPAN, 28/01/2025)</t>
  </si>
  <si>
    <t>APA Anhantomirim
ESEC Carijós
REBIO Marinha do Arvoredo
RESEX Marinha do Pirajubaé</t>
  </si>
  <si>
    <t>Canídeos - 1º ciclo</t>
  </si>
  <si>
    <t>Canídeos - 2º ciclo</t>
  </si>
  <si>
    <t>CERPAN - 1º ciclo</t>
  </si>
  <si>
    <t>https://www.gov.br/icmbio/pt-br/assuntos/biodiversidade/pan/pan-aves-do-cerrado-e-pantanal</t>
  </si>
  <si>
    <t>Portaria ICMBio 2811 (23/08/2023)</t>
  </si>
  <si>
    <t>02061.000038/2020-45</t>
  </si>
  <si>
    <t>Portaria ICMBio 2.901 (18/09/2024)</t>
  </si>
  <si>
    <t>02068.000081/2022-11</t>
  </si>
  <si>
    <t>https://www.gov.br/icmbio/pt-br/assuntos/biodiversidade/pan/pan-ariranha</t>
  </si>
  <si>
    <t>Rivulídeos - 2º ciclo</t>
  </si>
  <si>
    <t>Todas do Paraná, exceto PARNA Marinho Ilhas dos Currais
Todas de Santa Catarina, exceto REBIO Marinha do Arvoredo
ESEC Aracuri-Esmeralda
FLONA de Canela
FLONA de Passo Fundo
FLONA São Fco de Paula</t>
  </si>
  <si>
    <t>Buriqui, Buriquim, Mariquina, Mono, Mono-carvoeiro, Muriqui-do-sul</t>
  </si>
  <si>
    <t>Cachorro do mato, fusquinho, graxaim, guancito, guaraxaim, lobinho, rabo-fofo, raposa, raposinha-do-mato</t>
  </si>
  <si>
    <t>badejo-branco, cerigado-cherne, cherna-preto, cherne-claro, cherne-pintado, cherne-verdadeiro, tapoan</t>
  </si>
  <si>
    <t>Cantador, Figueira, Fogueira, Imperador, Mirassol, Olhão, Olho-de-boi, Olho-de-vidro, Piranema</t>
  </si>
  <si>
    <t>Leão-baio, Leãozinho-da-cara-suja, Onça-do-lombo-preto, Onça-parda, Onça-vermelha, Suçuarana</t>
  </si>
  <si>
    <t>tubarão-rabudo, tubarão-raposa</t>
  </si>
  <si>
    <t>cabeça-chata-do-sul, cação-baía</t>
  </si>
  <si>
    <t>cação-da-areia, cação-mangona</t>
  </si>
  <si>
    <t>Guará, Lobão, Lobo-de-juba, Lobo-guará, Lobo-vermelho</t>
  </si>
  <si>
    <t>Espécies fauna registrada nas UCs (Gov e SAMGe) e ameaçadas (SALVE público, 2024). Novos dados podem ser adicionados no final das listas</t>
  </si>
  <si>
    <t>APA de Guaraqueçaba
PARNA de Ilha Grande
PARNA do Iguaçu</t>
  </si>
  <si>
    <t>ARIE Serra da Abelha
FLONA de Ibirama
FLONA de Piraí do Sul</t>
  </si>
  <si>
    <t>APA de Guaraqueçaba
PARNA da Serra do Itajaí
PARNA do Superagui</t>
  </si>
  <si>
    <t>Recurso e Valor da UC</t>
  </si>
  <si>
    <t>ESEC Aracuri-Esmeralda
FLONA de Passo Fundo
FLONA de São Francisco de Paula
PARNA de São Joaquim</t>
  </si>
  <si>
    <t>FLONA de São Francisco de Paula
PARNA da Serra do Itajaí
PARNA de Ilha Grande</t>
  </si>
  <si>
    <t>REBIO Marinha do Arvoredo
REVIS da Ilha dos Lobos</t>
  </si>
  <si>
    <t>APA das Ilhas e Várzeas do Rio Paraná
PARNA de Ilha Grande</t>
  </si>
  <si>
    <t>ESEC de Carijós
REBIO Marinha do Arvoredo
REVIS da Ilha dos Lobos</t>
  </si>
  <si>
    <t>*</t>
  </si>
  <si>
    <t>**REVIS dos Campos de Palmas</t>
  </si>
  <si>
    <t>FLONA de Três Barras
PARNA de São Joaquim
PARNA dos Campos Gerais
REVIS dos Campos de Palmas</t>
  </si>
  <si>
    <t>REBIO Marinha do Arvoredo
ESEC de Guaraqueçaba</t>
  </si>
  <si>
    <t>APA da Baleia Franca
REBIO Marinha do Arvoredo
REVIS da Ilha dos Lobos</t>
  </si>
  <si>
    <t>ESEC de Carijós
REVIS da Ilha dos Lobos</t>
  </si>
  <si>
    <t>ARIE Serra da Abelha
FLONA de Ibirama</t>
  </si>
  <si>
    <t>APA de Guaraqueçaba
PARNA do Superagui</t>
  </si>
  <si>
    <t>**PARNA de Ilha Grande</t>
  </si>
  <si>
    <t>FLONA de Três Barras
PARNA do Iguaçu</t>
  </si>
  <si>
    <t>gavião-real, harpia</t>
  </si>
  <si>
    <t>FLONA de Ibirama
PARNA dos Campos Gerais</t>
  </si>
  <si>
    <t>Aburria jacutinga
Alectrurus tricolor
Amazona vinacea
Blastocerus dichotomus
Brycon orbignyanus
Celeus galeatus
Chrysocyon brachyurus
Herpailurus yagouaroundi
Homeoura lindneri
Myleus tiete
Myrmecophaga tridactyla
Panthera onca
Parides panthonus
Pseudoplatystoma corruscans
Pteronura brasiliensis
Sapajus cay
Sporophila hypoxantha
Sporophila maximiliani
Sporophila melanogaster
Sporophila palustris
Sporophila ruficollis
Sternarchorhynchus britskii
Tapirus terrestris
Tayassu pecari
Tigrisoma fasciatum
Urubitinga coronata</t>
  </si>
  <si>
    <t>PARNA de Ilha Grande
FLONA de Piraí do Sul
PARNA dos Campos Gerais
REVIS dos Campos de Palmas</t>
  </si>
  <si>
    <t>APA das Ilhas e Várzeas do Rio Paraná
PARNA de Ilha Grande
PARNA do Iguaçu
PARNA Guaricana
REBIO das Araucárias</t>
  </si>
  <si>
    <t>Aburria jacutinga
Amadonastur lacernulatus
Formicivora acutirostris
Hemitriccus kaempferi
Panthera onca
Paraclaravis geoffroyi
Parides tros
Pontoporia blainvillei
Sotalia guianensis
Speothos venaticus
Tapirus terrestris
Tayassu pecari
Tigrisoma fasciatum</t>
  </si>
  <si>
    <t>Não registrada por UC</t>
  </si>
  <si>
    <t>Ariranha, lontra gigante, onça-d'água</t>
  </si>
  <si>
    <t>peixe-papagaio-azul,	 budião-azul</t>
  </si>
  <si>
    <t>Aves da Mata Atlântica -2º ciclo</t>
  </si>
  <si>
    <t>Consta no SALVE ocorrência no MS, mas não em UC do Sul</t>
  </si>
  <si>
    <r>
      <t xml:space="preserve">Citada pela UC com o nome antigo </t>
    </r>
    <r>
      <rPr>
        <i/>
        <sz val="11"/>
        <color rgb="FF000000"/>
        <rFont val="Calibri"/>
        <family val="2"/>
        <scheme val="minor"/>
      </rPr>
      <t>Leucopternis lacernulatus</t>
    </r>
  </si>
  <si>
    <r>
      <t xml:space="preserve">Citada pela UC como </t>
    </r>
    <r>
      <rPr>
        <i/>
        <sz val="11"/>
        <color rgb="FF000000"/>
        <rFont val="Calibri"/>
        <family val="2"/>
      </rPr>
      <t>Microphis lineatus</t>
    </r>
    <r>
      <rPr>
        <sz val="11"/>
        <color rgb="FF000000"/>
        <rFont val="Calibri"/>
        <family val="2"/>
      </rPr>
      <t>, mas não consta no Sul no SALVE</t>
    </r>
  </si>
  <si>
    <r>
      <t xml:space="preserve">estava escrito no Gov </t>
    </r>
    <r>
      <rPr>
        <i/>
        <sz val="11"/>
        <color rgb="FF000000"/>
        <rFont val="Calibri"/>
        <family val="2"/>
        <scheme val="minor"/>
      </rPr>
      <t>Preprilus paru</t>
    </r>
    <r>
      <rPr>
        <sz val="11"/>
        <color rgb="FF000000"/>
        <rFont val="Calibri"/>
        <family val="2"/>
        <scheme val="minor"/>
      </rPr>
      <t>, não ocorrente no Brasil</t>
    </r>
  </si>
  <si>
    <t>APA das Ilhas e Várzeas do Rio Paraná
REBIO Bom Jesus
PARNA Guaricana</t>
  </si>
  <si>
    <t>PARNA dos Campos Gerais
PARNA Guaricana</t>
  </si>
  <si>
    <t>APA de Guaraqueçaba
PARNA do Iguaçu</t>
  </si>
  <si>
    <t>FLONA de São Francisco de Paula
PARNA de São Joaquim</t>
  </si>
  <si>
    <t>raia-chita, raia-marcela</t>
  </si>
  <si>
    <t>Buriqui, Muriqui-do-sul</t>
  </si>
  <si>
    <t>cabeça-chata, cação-baiacu</t>
  </si>
  <si>
    <t>Lobo-guará, Lobo-vermelho</t>
  </si>
  <si>
    <t>Tartaruga-oliva, Tartaruga pequena</t>
  </si>
  <si>
    <t>Gato-mourisco, Jaguarundi</t>
  </si>
  <si>
    <t>cavalinho-do-mar, cavalo-marinho</t>
  </si>
  <si>
    <t>Camarãozinho, Geco-do-campo</t>
  </si>
  <si>
    <t>cherne-negro, mero-negro</t>
  </si>
  <si>
    <t>badejo-branco, cherne-verdadeiro</t>
  </si>
  <si>
    <t>Gato-do-mato, Gato-maracajá</t>
  </si>
  <si>
    <t>Gato-peludo, Maracajá-peludo</t>
  </si>
  <si>
    <t>Tartaruga comum, Tartaruga-oliva</t>
  </si>
  <si>
    <t>Caranha, Caranha-do-fundo</t>
  </si>
  <si>
    <t>boca-de-gaveta, raia-jamanta</t>
  </si>
  <si>
    <t>bico-doce, boca-de-velha</t>
  </si>
  <si>
    <t>badejo-quadrado, Sirigado</t>
  </si>
  <si>
    <t>raia-amarela, raia-manteiga</t>
  </si>
  <si>
    <t>Tamanduá-bandeira, Papa-formigas</t>
  </si>
  <si>
    <t>Veado-campeiro, Veado-branco</t>
  </si>
  <si>
    <t>Canguçu, Onça-pintada</t>
  </si>
  <si>
    <t>burriquete, corvina-negra</t>
  </si>
  <si>
    <t>Boto-amarelo, Toninha</t>
  </si>
  <si>
    <t>cação-viola, raia-viola</t>
  </si>
  <si>
    <t>Pintado, Surubim-pintado</t>
  </si>
  <si>
    <t>Ariranha, lontra gigante</t>
  </si>
  <si>
    <t>cação-estrela, tubarão-baleia</t>
  </si>
  <si>
    <t>cambeva, tubarão-martelo-liso</t>
  </si>
  <si>
    <t>Iguaninha-azul, Lagarto-das-pedras</t>
  </si>
  <si>
    <t>peixe néon</t>
  </si>
  <si>
    <t>badejão, garoupa</t>
  </si>
  <si>
    <t>Aves da Mata Atlântica - 2º ciclo
Aves do Cerrado e Pantanal - 2º ciclo</t>
  </si>
  <si>
    <t>ouriço-lilás</t>
  </si>
  <si>
    <t>Aves da Mata Atlântica -2º ciclo
Aves dos Campos Sulinos - 3º ciclo</t>
  </si>
  <si>
    <t>Gato-do-mato-grande</t>
  </si>
  <si>
    <t>Veado-bororó-do-sul</t>
  </si>
  <si>
    <t>Sapinho-mão-vermelha-de-Cambará</t>
  </si>
  <si>
    <t>Mico-leão-da-cara-preta</t>
  </si>
  <si>
    <t>rãzinha-do-folhiço-da-ilha</t>
  </si>
  <si>
    <t>Faquinha-arredondada</t>
  </si>
  <si>
    <t>cação-bruxa</t>
  </si>
  <si>
    <t>Macaco-prego-do-papo-amarelo</t>
  </si>
  <si>
    <t>peixe-papagaio-banana</t>
  </si>
  <si>
    <t>cachorro-do-mato-vinagre</t>
  </si>
  <si>
    <t>cação-anjo-de-asa-longa</t>
  </si>
  <si>
    <t>cação-anjo-espinhoso</t>
  </si>
  <si>
    <t>cação-anjo-de-asa-curta</t>
  </si>
  <si>
    <t>Sapinho-da-barriga-colorida</t>
  </si>
  <si>
    <t>Sapinho-mão-vermelha-da-restinga</t>
  </si>
  <si>
    <t>Tartaruga de escamas</t>
  </si>
  <si>
    <t>Baleia-franca-austral</t>
  </si>
  <si>
    <t>Tartaruga-cabeçuda</t>
  </si>
  <si>
    <t>Não listada oficialmente pela UC. Consta apenas no SALVE</t>
  </si>
  <si>
    <t>ESEC do Taim</t>
  </si>
  <si>
    <t>FLONA de Assungui</t>
  </si>
  <si>
    <t>FLONA de Irati</t>
  </si>
  <si>
    <t>PARNA Marinho das Ilhas dos Currais</t>
  </si>
  <si>
    <t>REBIO das Perobas</t>
  </si>
  <si>
    <t>RESEX Marinha do Pirajubaé</t>
  </si>
  <si>
    <t>SALVE dez/2024</t>
  </si>
  <si>
    <t>Fonte do dado</t>
  </si>
  <si>
    <t>APA do Anhatomirim</t>
  </si>
  <si>
    <t xml:space="preserve">  Espécies da fauna registradas nas UCs federais do Sul e Ações de Conservação associadas</t>
  </si>
  <si>
    <t xml:space="preserve">        (informações baseadas no preenchimento: SAMGe e Gov.br até 31/01/2025, e SALVE (espécies ameaçadas) dez/2024)</t>
  </si>
  <si>
    <t>Registrada apenas no SALVE interno</t>
  </si>
  <si>
    <t>Não listada oficialmente pela UC. Consta apenas no SALVE interno.</t>
  </si>
  <si>
    <t>Informações sobre atividades que envolvem a paricpação em PAN e a gestão da biodiversidade em cada UC federal, obtidas a partir de dados do ICMBio e questionário aplicado às UCs em 2024.
Informações e fontes: Plano de Manejo (constando ano e link de acesso disponível no gov.br); Fauna citada como Recursos e Valores (RV); Principais ameaças, Ações de manejo para a biodiversidade (SAMGe ciclo 2023); Pesquisas (quantidade de autorizações SISBIO); Número e lista de espécies ameaçadas registrado no SALVE e pela UC (site oficial e SAMGe); Participação no Programa MONITORA (MONITORA 2024); Usos que afetam a biodiversidade, UC em área de abrangência de PRIM (detalhes abaixo, COMAM); Quantidade de PANs que abrangem a área da UC (COPAN); Nível de conhecimeno e Envolvimento com PAN (1-nenhum, 4-bastante), Participação efetiva em PANs (finalizados ou em execução), Prioridades e dificuldades de gestão, Projetos e observações (principais projetos envolvendo PANs executados e outras observações), NGI (núcleo de gestão integrada), Ponto focal e e-mail (servidor responsável pela temática de PANs e gestão da biodiversidade na UC) (a partir do questionário-diagnóstico aplicado em 2024 pela GR5).
Dados complementares e detalhados estão em construção em outras planilhas, como a tabela "Espécies nas UCs" e base de dados sobre espécies ocorrentes, ameaçadas e exóticas nas UCs.</t>
  </si>
  <si>
    <t>Colunas da Tabela "Perfil UCs do Sul"</t>
  </si>
  <si>
    <t>APA da Baleia Franca
APA do Anhatomirim
REBIO Marinha do Arvoredo
REVIS da Ilha dos Lobos</t>
  </si>
  <si>
    <t>02031.000125/2023-01</t>
  </si>
  <si>
    <t>Iguaçu - 2º ciclo</t>
  </si>
  <si>
    <t>Nome fantasia</t>
  </si>
  <si>
    <t>Plano de Ação Nacional para a Conservação das Espécies Ameaçadas de Extinção da Fauna Aquática e Semiaquática da Bacia do Baixo Iguaçu</t>
  </si>
  <si>
    <t>Plano de Ação para
a Conservação de Peixes da Bacia do Rio Iguaçu</t>
  </si>
  <si>
    <t>CEPTA_11.02</t>
  </si>
  <si>
    <t>Cnesterodon omorgmatos</t>
  </si>
  <si>
    <t>Hasemania maxillaris</t>
  </si>
  <si>
    <t>Hasemania melanura</t>
  </si>
  <si>
    <t>Hyphessobrycon taurocephalus</t>
  </si>
  <si>
    <t>Cambeva crassicaudata</t>
  </si>
  <si>
    <t>Cambeva mboycy</t>
  </si>
  <si>
    <t>Cambeva papilífera</t>
  </si>
  <si>
    <t>Cambeva igobi</t>
  </si>
  <si>
    <t>Cnesterodon carnegiei</t>
  </si>
  <si>
    <t>02032.000037/2022-18</t>
  </si>
  <si>
    <t>Plano de Ação Nacional
para a Conservação dos Tubarões e Raias
Marinhos Ameaçados de Extinção</t>
  </si>
  <si>
    <t>Carcharhinus falciformes</t>
  </si>
  <si>
    <t>Carcharhinus galapagensis</t>
  </si>
  <si>
    <t>Carcharhinus longimanus</t>
  </si>
  <si>
    <t>Isogomphodon oxyrhynchus</t>
  </si>
  <si>
    <t>Sphyrna Gilberti</t>
  </si>
  <si>
    <t>Sphyrna media</t>
  </si>
  <si>
    <t>Sphyrna mokarran</t>
  </si>
  <si>
    <t>Sphyrna tiburo</t>
  </si>
  <si>
    <t>Sphyrna tudes</t>
  </si>
  <si>
    <t>Isurus oxyrinchus</t>
  </si>
  <si>
    <t>Bathytoshia centroura</t>
  </si>
  <si>
    <t>Pristis pectinata</t>
  </si>
  <si>
    <t>Pristis pristis</t>
  </si>
  <si>
    <t>Carcharhinus signatus</t>
  </si>
  <si>
    <t>Negaprion brevirostris</t>
  </si>
  <si>
    <t>Alopias superciliosus</t>
  </si>
  <si>
    <t>Myliobatis freminvillii</t>
  </si>
  <si>
    <t>Thunnus thynnus</t>
  </si>
  <si>
    <t>Carcharhinus acronotus</t>
  </si>
  <si>
    <t>Carcharhinus brevipinna</t>
  </si>
  <si>
    <t>Carcharhinus perezi</t>
  </si>
  <si>
    <t>Fontitrygon colarensis</t>
  </si>
  <si>
    <t>Hypanus berthalutze</t>
  </si>
  <si>
    <t>Hypanus marianae</t>
  </si>
  <si>
    <t>Mobula mobular</t>
  </si>
  <si>
    <t>Mobula tarapacana</t>
  </si>
  <si>
    <t>Mobula thurstoni</t>
  </si>
  <si>
    <t>Urotrygon microphthalmum</t>
  </si>
  <si>
    <t>Ginglymostoma cirratum</t>
  </si>
  <si>
    <t>Makayra nigricans</t>
  </si>
  <si>
    <t>Plano de Ação Nacional para a Conservação das Espécies Ameaçadas de Extinção da Ictiofauna, Herpetofauna e Primatas do Cerrado, Pantanal e Amazônia</t>
  </si>
  <si>
    <t>CERPAM - 2º ciclo</t>
  </si>
  <si>
    <t>02071.000012/2024-10</t>
  </si>
  <si>
    <t>Microglanis maculatus</t>
  </si>
  <si>
    <t>Anomaloglossus tepequem</t>
  </si>
  <si>
    <t>Anomaloglossus apiau</t>
  </si>
  <si>
    <t>Gonatodes tapajonicus</t>
  </si>
  <si>
    <t>Pimelodus stewarti</t>
  </si>
  <si>
    <t>Boana buriti</t>
  </si>
  <si>
    <t>Melanophryniscus klappenbachi</t>
  </si>
  <si>
    <t xml:space="preserve">(Previsto) CERPAM - 2º ciclo </t>
  </si>
  <si>
    <t>02068.000015/2024-02</t>
  </si>
  <si>
    <t>Plano de Ação Nacional para Conservação dos Canídeos Silvestres</t>
  </si>
  <si>
    <t>Plano de Ação Nacional para a Conservação dos Albatrozes e Petréis</t>
  </si>
  <si>
    <t>Plano de Ação Nacional para a Conservação das Espécies de Peixes Ameaçadas de Extinção da Bacia do Alto Rio Paraná</t>
  </si>
  <si>
    <t>Plano de Ação Nacional para a Conservação da Ariranha (Pteronura brasiliensis)</t>
  </si>
  <si>
    <t>Plano de Ação Nacional para Conservação das Aves da Mata Atlântica</t>
  </si>
  <si>
    <t>Plano de Ação Nacional para Conservação das Aves do Cerrado e Pantanal</t>
  </si>
  <si>
    <t>Plano de Ação Nacional para a Conservação das Aves dos Campos Sulinos</t>
  </si>
  <si>
    <t>Plano de Ação Nacional para Conservação das Aves Limícolas Migratórias</t>
  </si>
  <si>
    <t>Plano de Ação Nacional para Conservação das Aves Marinhas</t>
  </si>
  <si>
    <t>Plano de Ação Nacional para a Conservação do Patrimônio Espeleológico Brasileiro</t>
  </si>
  <si>
    <t>Próximo à Flona de Piraí do Sul</t>
  </si>
  <si>
    <t>Plano de Ação Nacional para Conservação das Espécies Ameaçadas de Extinção da Ictiofauna, Herpetofauna e Primatas do Cerrado e Pantanal</t>
  </si>
  <si>
    <t>Plano de Ação Nacional para Conservação de Cetáceos Marinhos Ameaçados de Extinção</t>
  </si>
  <si>
    <t>Plano de Ação Nacional para a Conservação dos Ambientes Coralíneos</t>
  </si>
  <si>
    <t>Plano de Ação Nacional para a Conservação dos Grandes Felinos</t>
  </si>
  <si>
    <t>Plano de Ação Nacional para Conservação de Répteis e Anfíbios Ameaçados da Região Sul do Brasil</t>
  </si>
  <si>
    <t>Plano de Ação Nacional para a Conservação dos Insetos Polinizadores Ameaçados de Extinção</t>
  </si>
  <si>
    <t>Plano de Ação Nacional para a Conservação dos Sistemas Lacustres e Lagunares do Sul do Brasil</t>
  </si>
  <si>
    <t>Plano de Ação Nacional para Conservação das Espécies Ameaçadas e de Importância Socioeconômica do Ecossistema Manguezal</t>
  </si>
  <si>
    <t xml:space="preserve">  Espécies contempladas em Planos de Ação no Sul - vigentes ou previstos (COPAN, 28/01/2025)</t>
  </si>
  <si>
    <t>Plano de Ação Nacional para a Conservação dos Papagaios</t>
  </si>
  <si>
    <t>Plano de Ação Nacional para a Conservação de Espécies de Peixes e Eglas Ameaçados de Extinção da Mata Atlântica</t>
  </si>
  <si>
    <t>Plano de Ação Nacional para a Conservação dos Pequenos Felinos</t>
  </si>
  <si>
    <t>Plano de Ação Nacional para a Conservação dos Pequenos Mamíferos de Áreas Abertas</t>
  </si>
  <si>
    <t>Plano de Ação Nacional para a Conservação dos Pequenos Mamíferos de Áreas Florestais</t>
  </si>
  <si>
    <t>Plano de Ação Nacional para a Conservação dos Primatas da Mata Atlântica e da Preguiça-de-Coleira</t>
  </si>
  <si>
    <t>Plano de Ação Nacional para a Conservação dos Peixes Rivulídeos Ameaçados de Extinção</t>
  </si>
  <si>
    <t>Plano de Ação Nacional para a Conservação do Tamanduá-bandeira, Tatu-canastra e Tatu-bola</t>
  </si>
  <si>
    <t>Plano de Ação Nacional para a Conservação das Tartarugas Marinhas</t>
  </si>
  <si>
    <t>Plano de Ação Nacional para Conservação da Toninha</t>
  </si>
  <si>
    <t>Plano de Ação Nacional para a Conservação dos Ungulados</t>
  </si>
  <si>
    <t>ESEC Aracuri-Esmeralda
FLONA de Canela
FLONA de Passo Fundo
FLONA São Fco de Paula
Todas do Paraná, exceto PARNA Ilhas dos Currais
Todasde Santa Catarina, exceto APA do Anhatomirim, REBIO Marinha do Arvoredo</t>
  </si>
  <si>
    <t>Todas do Paraná
*PARNA Guaricana
*PARNA de Saint-Hilaire/Lange
Todas do Rio Grande do Sul
*ESEC Taim
*PARNA Lagoa do Peixe
Todas de Santa Catarina
*PARNA de Aparados da Serra
*PARNA da Serra Geral</t>
  </si>
  <si>
    <t>Todas do Paraná, exceto PARNA Marinho Ilhas dos Currais
Todas de Santa Catarina, exceto REBIO Marinha do Arvoredo
*PARNA Guaricana
*PARNA de Saint-Hilaire/Lange
*REBIO Bom Jesus
ESEC Aracuri-Esmeralda
ESEC Taim
*FLONA de Canela
FLONA de Passo Fundo
*FLONA São Fco de Paula
PARNA Lagoa do Peixe
*PARNA de Aparados da Serra
*PARNA da Serra Geral</t>
  </si>
  <si>
    <t>APA de Guaraqueçaba
PARNA dos Campos Gerais
PARNA Marinho Ilhas dos Currais
APA da Baleia Franca
PARNA da Serra do Itajaí
PARNA de São Joaquim
RPPN Rio das Furnas
RPPN Corvo Branco</t>
  </si>
  <si>
    <t>Todas de Santa Catarina e do Paraná
*PARNA dos Campos Gerais
*PARNA Guaricana
*PARNA de Saint-Hilaire/Lange
*PARNA da Serra do Itajaí
*PARNA de São Joaquim
*PARNA de Aparados da Serra
*PARNA da Serra Geral
ESEC Aracuri-Esmeralda
FLONA de Canela
FLONA de Passo Fundo
*FLONA de São Franciso de Paula</t>
  </si>
  <si>
    <t>APA Ilhas e Várzeas do Rio Paraná
PARNA de Ilha Grande</t>
  </si>
  <si>
    <t>FLONA de Irati
FLONA de Piraí do Sul
APA Ilhas e Várzeas do Rio Paraná
PARNA dos Campos Gerais
PARNA de Ilha Grande
PARNA do Iguaçu
REBIO das Araucárias
REBIO Perobas</t>
  </si>
  <si>
    <t>Todas de Santa Catarina e Paraná
*APA Ilhas e Várzeas do Rio Paraná
*PARNA de Ilha Grande
*PARNA do Iguaçu
*APA de Guaraqueçaba
*ESEC de Guaraqueçaba
*PARNA Guaricana
*PARNA de Saint-Hilaire/Lange
*PARNA Superagui
*REBIO Bom Jesus
*ESEC da Mata Preta
*PARNA das Araucárias
*PARNA de Aparados da Serra
*PARNA da Serra Geral
*PARNA de São Joaquim
*REVIS dos Campos de Palmas
ESEC Aracuri-Esmeralda
FLONA de Canela
FLONA de Passo Fundo
FLONA de São Franciso de Paula</t>
  </si>
  <si>
    <t>PARNA do Iguaçu
REVIS dos Campos de Palmas</t>
  </si>
  <si>
    <t>*Flona de Piraí do Sul</t>
  </si>
  <si>
    <t>Todas do Paraná, exceto PARNA Marinho Ilhas dos Currais
APA do Ibirapuitã
ESEC Aracuri-Esmeralda
FLONA de Canela
FLONA de Passo Fundo
FLONA São Fco de Paula
APA da Baleia Franca
ARIE Serra da Abelha
FLONA de Caçador
FLONA de Ibirama
FLONA de Três Barras
PARNA das Araucárias
PARNA de São Joaquim
PARNA de Aparados da Serra
PARNA da Serra Geral</t>
  </si>
  <si>
    <t>APA da Baleia Franca
APA do Ibirapuitã
*ESEC Taim
*PARNA Lagoa do Peixe</t>
  </si>
  <si>
    <t>Todas do Paraná, exceto ESEC de Guaraqueçaba, PARNA Superagui e PARNA Marinho Ilhas dos Currais
Todas de Santa Catarina, exceto NGI Florianópolis
Todas do Rio Grande do Sul, exceto REVIS da Ilha dos Lobos</t>
  </si>
  <si>
    <t>PARNA Marinho Ilhas dos Currais
PARNA Lagoa do Peixe
REVIS da Ilha dos Lobos
APA da Baleia Franca
REBIO Marinha do Arvoredo</t>
  </si>
  <si>
    <t>Todas da região Sul, exceto REVIS da Ilha dos Lobos
*APA Ilhas e Várzeas do Rio Paraná
*PARNA de Ilha Grande
*FLONA de Irati
*Flona de Piraí do Sul
*PARNA das Araucárias
*PARNA dos Campos Gerais
*PARNA do Iguaçu
*APA de Guaraqueçaba
*PARNA Guaricana
*PARNA de Saint-Hilaire/Lange
*REBIO Bom Jesus
*APA da Baleia Franca
*Flona Três Barras
*PARNA da Serra do Itajaí
*PARNA de São Joaquim
*PARNA de Aparados da Serra
*PARNA da Serra Geral
*PARNA de São Joaquim
*REVIS dos Campos de Palmas
*APA do Ibirapuitã
*FLONA Canela
*FLONA São Francisco de Paula</t>
  </si>
  <si>
    <t>ESEC Taim
PARNA Lagoa do Peixe
REVIS da Ilha dos Lobos
APA da Baleia Franca</t>
  </si>
  <si>
    <t>ESEC de Guaraqueçaba
PARNA Marinho Ilhas dos Currais
PARNA Lagoa do Peixe
REVIS da Ilha dos Lobos
APA do Anhatomirim
APA da Baleia Franca
ESEC Carijós
REBIO Marinha do Arvoredo
RESEX do Pirajubaé</t>
  </si>
  <si>
    <t>Todas do Paraná, exceto ESEC de Guaraqueçaba, PARNA Superagui
Todas do Rio Grande do Sul
Todas de Santa Catarina, exceto litorâneas APA do Anhatomirim, ESEC Carijós, REBIO Marinha do Arvoredo, RESEX do Pirajubaé</t>
  </si>
  <si>
    <t>APA Guaraqueçaba
ESEC de Guaraqueçaba
PARNA Superagui
PARNA Marinho Ilhas dos Currais
REBIO Bom Jesus
ESEC Taim
PARNA Lagoa do Peixe
REVIS da Ilha dos Lobos
APA do Anhatomirim
APA da Baleia Franca
ESEC Carijós
REBIO Marinha do Arvoredo
RESEX do Pirajubaé</t>
  </si>
  <si>
    <t>Todas do Paraná, exceto PARNA Marinho Ilhas dos Currais
Todas do Rio Grande do Sul, exceto REVIS da Ilha dos Lobos
Todas de Santa Catarina, exceto APA do Anhatomirim, ESEC Carijós, REBIO Marinha do Arvoredo, RESEX do Pirajubaé</t>
  </si>
  <si>
    <t>Todas do Paraná, exceto PARNA Marinho Ilhas dos Currais
Todas do Rio Grande do Sul, exceto REVIS da Ilha dos Lobos
Todas de Santa Catarina, exceto ESEC Carijós, REBIO Marinha do Arvoredo, RESEX do Pirajubaé</t>
  </si>
  <si>
    <t>PARNA Marinho Ilhas dos Currais
PARNA Lagoa do Peixe
REVIS da Ilha dos Lobos
APA do Anhatomirim
APA da Baleia Franca
ESEC Carijós
REBIO Marinha do Arvoredo
RESEX do Pirajubaé</t>
  </si>
  <si>
    <t>ESEC de Guaraqueçaba
PARNA Superagui
PARNA Marinho Ilhas dos Currais
APA do Anhatomirim
APA da Baleia Franca
ESEC Carijós
REBIO Marinha do Arvoredo
RESEX do Pirajubaé
PARNA Lagoa do Peixe
REVIS da Ilha dos Lobos</t>
  </si>
  <si>
    <t>Subespécie/Observação</t>
  </si>
  <si>
    <t>Attila spadiceus</t>
  </si>
  <si>
    <t>Campylorhamphus trochilirostris</t>
  </si>
  <si>
    <t>Celeus flavus</t>
  </si>
  <si>
    <t>Celeus torquatus</t>
  </si>
  <si>
    <t>Conopophaga melanops</t>
  </si>
  <si>
    <t>Cunizza hirlanda</t>
  </si>
  <si>
    <t>Discosura langsdorffi</t>
  </si>
  <si>
    <t>Grallaria varia</t>
  </si>
  <si>
    <t>Heraclides garleppi</t>
  </si>
  <si>
    <t>Heraclides himeros</t>
  </si>
  <si>
    <t>Hypoleria lavinia</t>
  </si>
  <si>
    <t>Mcclungia cymo</t>
  </si>
  <si>
    <t>Melinaea mnasias</t>
  </si>
  <si>
    <t>Mimoides lysithous</t>
  </si>
  <si>
    <t>Momotus momota</t>
  </si>
  <si>
    <t>Monasa morphoeus</t>
  </si>
  <si>
    <t>Moschoneura pinthous</t>
  </si>
  <si>
    <t>Napeogenes rhezia</t>
  </si>
  <si>
    <t>Nyctibius aethereus</t>
  </si>
  <si>
    <t>Odontophorus capueira</t>
  </si>
  <si>
    <t>Oxynetra roscius</t>
  </si>
  <si>
    <t>Pampasatyrus glaucope</t>
  </si>
  <si>
    <t>Parides bunichus</t>
  </si>
  <si>
    <t>Penelope superciliaris</t>
  </si>
  <si>
    <t>Perrhybris pamela</t>
  </si>
  <si>
    <t>Platyrinchus mystaceus</t>
  </si>
  <si>
    <t>Pseudocroniades machaon</t>
  </si>
  <si>
    <t>Scada karschina</t>
  </si>
  <si>
    <t>Schiffornis turdina</t>
  </si>
  <si>
    <t>Sclerurus caudacutus</t>
  </si>
  <si>
    <t>Sclerurus macconnelli</t>
  </si>
  <si>
    <t>Strix huhula</t>
  </si>
  <si>
    <t>Thamnomanes caesius</t>
  </si>
  <si>
    <t>Thamnophilus aethiops</t>
  </si>
  <si>
    <t>Tithorea harmonia</t>
  </si>
  <si>
    <t>Trogon collaris</t>
  </si>
  <si>
    <t>Xenops minutus</t>
  </si>
  <si>
    <t>Zonia zonia</t>
  </si>
  <si>
    <t>Diomedea sanfordi</t>
  </si>
  <si>
    <t>Página oficial</t>
  </si>
  <si>
    <t>CEPSUL</t>
  </si>
  <si>
    <t>Tubarões - 2º ciclo</t>
  </si>
  <si>
    <t>gastrópoda</t>
  </si>
  <si>
    <t>Contemplada em PAN</t>
  </si>
  <si>
    <t>Lista das espécies ameaçadas da fauna com ocorrência nas UCs federais da região Sul (SALVE interno, 2024), relacionando as citadas como Recurso e Valor (RV) (SAMGe, 2023) e contempladas em PAN vigentes ou previstos (COPAN, 2024). Categoria de risco: VU - vulnerável, EN - em perigo, CR - criticamente em perigo. *Registrada por alguma UC mas não é RV; **Não consta no SALVE.</t>
  </si>
  <si>
    <t>Nível de conhecimento sobre ações de PANs no território</t>
  </si>
  <si>
    <t>Nível de envolvimento da UC com PANs</t>
  </si>
  <si>
    <t>Médio</t>
  </si>
  <si>
    <t>Alto</t>
  </si>
  <si>
    <t>Nenhum ou muito baixo</t>
  </si>
  <si>
    <t>Baixo</t>
  </si>
  <si>
    <t>Possui PM</t>
  </si>
  <si>
    <t>Em projeto</t>
  </si>
  <si>
    <t>Plano de gestão 1995 (não oficializado)</t>
  </si>
  <si>
    <t>id do PAN</t>
  </si>
  <si>
    <t>Ecossistema</t>
  </si>
  <si>
    <t>RV</t>
  </si>
  <si>
    <t>Uso associado</t>
  </si>
  <si>
    <t>Tabela contendo as espécies ameaçadas da fauna registrasdas nas UCs da região sul e informações sobre inclusão em ações de planos de manejo e/ou de outros instrumentos, como PAN, e em atividades de pesquisa, a partir de dados disponíveis no site oficial da UC (gov.br), SAMGe, SALVE, SISBIO e PAN.
1. Dados gerais: Informações taxonômicas da espécie e categoria de risco (SALVE), UC de ocorrência, Contemplada em PAN (COPAN), espécie é Recurso e Valor (RV) da UCs e Uso associado na UC (pesca, caça, ecoturimo, etc.) (SAMGe 2023);
2. Dados sobre projetos que incluem a espécie (sugestão): informações de Projeto realizado na UC, Ação de manejo associado, Localidades (local específico, região), Coordenadas (localização geográfica - lat e long - do local ou centróide), Data de início e de fim (da ações ou projeto), Executor (pessoa ou grupo executor), Instituição vinculada/parceira, Status (Finalizado, Parado, Planejado, Vigente), Processo SEI (n° do processo ou documento SEI), Licença SISBIO (n° da licença), e observações pertinentes.</t>
  </si>
  <si>
    <t>Portaira ICMBio 1145 (05/12/2022)</t>
  </si>
  <si>
    <t>Diagnóstico sobre a fauna;
Corte raso de pinus, com posterior recuperação florestal das áreas;
Manejo antigos plantios de araucárias;
Identificação de parceiros.</t>
  </si>
  <si>
    <t>CNPC</t>
  </si>
  <si>
    <t xml:space="preserve"> Centro Nacional de Pesquisa e Conservação de Cavernas</t>
  </si>
  <si>
    <t xml:space="preserve"> Centro Nacional de Pesquisa e Conservação em Biodiversidade e Restauração Ecológica</t>
  </si>
  <si>
    <t xml:space="preserve"> Centro Nacional de Pesquisa e Conservação de Aves Silvestres</t>
  </si>
  <si>
    <t xml:space="preserve"> Centro Nacional de Pesquisa e Conservação de Mamíferos Carnívoros</t>
  </si>
  <si>
    <t xml:space="preserve"> Centro Nacional de Pesquisa e Conservação da Biodiversidade Marinha do Sudeste e Sul</t>
  </si>
  <si>
    <t xml:space="preserve"> Centro Nacional de Pesquisa e Conservação da Biodiversidade Aquática Continental</t>
  </si>
  <si>
    <t xml:space="preserve"> Centro Nacional de Pesquisa e Conservação de Mamíferos Aquáticos</t>
  </si>
  <si>
    <t xml:space="preserve"> Centro Nacional de Pesquisa e Conservação da Sociobiodiversidade Associada a 
Povos e Comunidades Tradicionais</t>
  </si>
  <si>
    <t xml:space="preserve"> Centro Nacional de Pesquisa e Conservação de Primatas Brasileiros</t>
  </si>
  <si>
    <t xml:space="preserve"> Centro Nacional de Pesquisa e Conservação de Répteis e Anfíbios</t>
  </si>
  <si>
    <t xml:space="preserve"> Centro Nacional de Pesquisa e Conservação de Tartarugas Marinhas e da Biodiversidade Marinha do Leste</t>
  </si>
  <si>
    <t>Portaira ICMBio 1557 (28/04/2025)</t>
  </si>
  <si>
    <t>Portaira ICMBio 1558 (28/04/2025)</t>
  </si>
  <si>
    <t>Portaira ICMBio 1560 (28/04/2025)</t>
  </si>
  <si>
    <t xml:space="preserve">Canídeos - 2º ciclo </t>
  </si>
  <si>
    <t xml:space="preserve">Iguaçu - 2º ciclo </t>
  </si>
  <si>
    <t xml:space="preserve">Tubarões - 2º ciclo </t>
  </si>
  <si>
    <t>Dados inseridos pelas UCs vinculadas à GR5 até 31/01/2025 via questionário eletrônico: https://forms.office.com/r/W3i20bXZgA (para visualização).</t>
  </si>
  <si>
    <t>Sim, mas falta comunicação e publicidade dos PANs.</t>
  </si>
  <si>
    <t>Meio de registro das espécies ocorrentes e de projetos associados</t>
  </si>
  <si>
    <t>Registro digital em andamento, espécies ameaçadas</t>
  </si>
  <si>
    <t>Planilhas</t>
  </si>
  <si>
    <t>Registros fotográficos</t>
  </si>
  <si>
    <t>Plano de Manejo apenas</t>
  </si>
  <si>
    <t>Dados em construção, monitoramento da biodiversidade</t>
  </si>
  <si>
    <t>Plano de Manejo e  trabalhos de pesquisa</t>
  </si>
  <si>
    <t>Relatórios SISBIO</t>
  </si>
  <si>
    <t>Planilhas e oficinas com a comunidade</t>
  </si>
  <si>
    <t>Planilhas atualizadas anualmente</t>
  </si>
  <si>
    <t>Banco de dados compartilhado com pesquisadores</t>
  </si>
  <si>
    <t>Registro digital em andamento, programa de monitoramento</t>
  </si>
  <si>
    <t>Planilhas, SISBIO, SISMonitora</t>
  </si>
  <si>
    <t>Dados em construção, monitoramento da fauna atropelada</t>
  </si>
  <si>
    <t>Essa planilha contém dados sobre biodiversidade e sobre espécies ameaçadas de extinção encontradas nas Unidades de Conservação federais da região Sul, relacionando as informações a ações de planos de manejo, Planos de Ação para Conservação de Espécies Ameaçadas de Extinção (PAN) e outros instrumentos de conservação da biodiversidade federais. 
Esta compilação de informações tem como objetivo a identificação das espécies da fauna ocorrentes e contempladas por ações de conservação, como também, realizar um diagnósticos da abrangência e efetividade de PANs nas UCs federais do país, com a identificação de prioridades e necessidades de gestão da biodiversidade e de compartilhamento de informações. 
A compilação é um dos resultados do projeto "Apoio à gestão de PANs e Conservação da Biodiversidade na região Sul" (Processo SEI: 02127.000744/2024-17),  desenvolvido pela Gerência Regional Sul - GR5 e a Coordenação de Identificação e Planejamento de Ações para Conservação - COPAN.
Os pontos de ocorrência das espécies registradas na região sul, foram obtidos do SALVE, e estão associados a arquivos vetoriais inclusos no projeto SIG Base Biodiversidade, que contém arquivo em QGIS e pasta com os vetores.
Os dados detalhados sobre as espécies nativas, exóticas e ameaçadas de extinção na região Sul podem ser visualizados na planilha complementar (BD_especies_ocorrentes_regiaoSul), cujas informações foram retiradas das plataformas SALVE e SiBBr.</t>
  </si>
  <si>
    <t>CENAP_17.02</t>
  </si>
  <si>
    <t>CEPSUL_05.02</t>
  </si>
  <si>
    <t>RAN_12.02</t>
  </si>
  <si>
    <t>CENAP_16.02</t>
  </si>
  <si>
    <t>Dados fornecidos pela equipe COPAN
Dados abertos PANs: https://dados.gov.br/dados/conjuntos-dados/planos-de-acao-nacional-para-a-conservacao-das-especies-ameacadas-de-extincao-pan</t>
  </si>
  <si>
    <t xml:space="preserve">
Base de dados SALVE/ICMBio: https://salve.icmbio.gov.br/#/</t>
  </si>
  <si>
    <t>Tubarões - 2º ciclo (2025)</t>
  </si>
  <si>
    <t>Canídeos - 2° ciclo (2025)</t>
  </si>
</sst>
</file>

<file path=xl/styles.xml><?xml version="1.0" encoding="utf-8"?>
<styleSheet xmlns="http://schemas.openxmlformats.org/spreadsheetml/2006/main">
  <fonts count="58">
    <font>
      <sz val="11"/>
      <color theme="1"/>
      <name val="Calibri"/>
      <family val="2"/>
      <scheme val="minor"/>
    </font>
    <font>
      <b/>
      <sz val="11"/>
      <color rgb="FF000000"/>
      <name val="Calibri"/>
      <family val="2"/>
      <scheme val="minor"/>
    </font>
    <font>
      <b/>
      <sz val="14"/>
      <color theme="1"/>
      <name val="Calibri"/>
      <family val="2"/>
      <scheme val="minor"/>
    </font>
    <font>
      <b/>
      <sz val="11"/>
      <color theme="1"/>
      <name val="Calibri"/>
      <family val="2"/>
      <scheme val="minor"/>
    </font>
    <font>
      <sz val="10"/>
      <color rgb="FF000000"/>
      <name val="Calibri"/>
      <family val="2"/>
      <scheme val="minor"/>
    </font>
    <font>
      <sz val="11"/>
      <color rgb="FF000000"/>
      <name val="Arial"/>
      <family val="2"/>
    </font>
    <font>
      <sz val="11"/>
      <color rgb="FF000000"/>
      <name val="Arial"/>
      <family val="2"/>
    </font>
    <font>
      <u/>
      <sz val="11"/>
      <color theme="10"/>
      <name val="Calibri"/>
      <family val="2"/>
      <scheme val="minor"/>
    </font>
    <font>
      <sz val="9"/>
      <color indexed="81"/>
      <name val="Segoe UI"/>
      <family val="2"/>
    </font>
    <font>
      <b/>
      <sz val="9"/>
      <color indexed="81"/>
      <name val="Segoe UI"/>
      <family val="2"/>
    </font>
    <font>
      <b/>
      <sz val="11"/>
      <color rgb="FF000000"/>
      <name val="Calibri"/>
      <family val="2"/>
    </font>
    <font>
      <sz val="11"/>
      <color rgb="FF000000"/>
      <name val="Calibri"/>
      <family val="2"/>
    </font>
    <font>
      <u/>
      <sz val="10"/>
      <color theme="10"/>
      <name val="Calibri"/>
      <family val="2"/>
      <scheme val="minor"/>
    </font>
    <font>
      <sz val="10"/>
      <color rgb="FF000000"/>
      <name val="Calibri"/>
      <family val="2"/>
      <scheme val="minor"/>
    </font>
    <font>
      <sz val="11"/>
      <color theme="1"/>
      <name val="Calibri"/>
      <family val="2"/>
    </font>
    <font>
      <u/>
      <sz val="11"/>
      <color theme="10"/>
      <name val="Calibri"/>
      <family val="2"/>
    </font>
    <font>
      <sz val="11"/>
      <name val="Calibri"/>
      <family val="2"/>
    </font>
    <font>
      <sz val="11"/>
      <color rgb="FF333333"/>
      <name val="Calibri"/>
      <family val="2"/>
    </font>
    <font>
      <sz val="11"/>
      <color rgb="FF000000"/>
      <name val="Calibri"/>
      <family val="2"/>
    </font>
    <font>
      <b/>
      <sz val="11"/>
      <color theme="1"/>
      <name val="Calibri"/>
      <family val="2"/>
    </font>
    <font>
      <b/>
      <sz val="18"/>
      <color rgb="FF000000"/>
      <name val="Calibri"/>
      <family val="2"/>
    </font>
    <font>
      <sz val="9"/>
      <color rgb="FF000000"/>
      <name val="Calibri"/>
      <family val="2"/>
    </font>
    <font>
      <i/>
      <sz val="10"/>
      <color rgb="FF000000"/>
      <name val="Calibri"/>
      <family val="2"/>
      <scheme val="minor"/>
    </font>
    <font>
      <u/>
      <sz val="11"/>
      <color rgb="FF000000"/>
      <name val="Calibri"/>
      <family val="2"/>
      <scheme val="minor"/>
    </font>
    <font>
      <sz val="11"/>
      <name val="Calibri"/>
      <family val="2"/>
      <scheme val="minor"/>
    </font>
    <font>
      <i/>
      <sz val="11"/>
      <color rgb="FF000000"/>
      <name val="Calibri"/>
      <family val="2"/>
      <scheme val="minor"/>
    </font>
    <font>
      <sz val="11"/>
      <color rgb="FF000000"/>
      <name val="Calibri"/>
      <family val="2"/>
      <scheme val="minor"/>
    </font>
    <font>
      <i/>
      <sz val="11"/>
      <color theme="1"/>
      <name val="Calibri"/>
      <family val="2"/>
      <scheme val="minor"/>
    </font>
    <font>
      <b/>
      <i/>
      <sz val="11"/>
      <color rgb="FF000000"/>
      <name val="Calibri"/>
      <family val="2"/>
      <scheme val="minor"/>
    </font>
    <font>
      <b/>
      <sz val="11"/>
      <color rgb="FF000000"/>
      <name val="Calibri"/>
      <family val="2"/>
      <scheme val="minor"/>
    </font>
    <font>
      <i/>
      <sz val="11"/>
      <color theme="5" tint="-0.249977111117893"/>
      <name val="Calibri"/>
      <family val="2"/>
      <scheme val="minor"/>
    </font>
    <font>
      <i/>
      <sz val="11"/>
      <color rgb="FF000000"/>
      <name val="Calibri"/>
      <family val="2"/>
    </font>
    <font>
      <u/>
      <sz val="10"/>
      <color rgb="FF000000"/>
      <name val="Calibri"/>
      <family val="2"/>
      <scheme val="minor"/>
    </font>
    <font>
      <b/>
      <sz val="18"/>
      <color rgb="FF000000"/>
      <name val="Calibri"/>
      <family val="2"/>
      <scheme val="minor"/>
    </font>
    <font>
      <sz val="9"/>
      <color rgb="FF000000"/>
      <name val="Calibri"/>
      <family val="2"/>
      <scheme val="minor"/>
    </font>
    <font>
      <b/>
      <sz val="12"/>
      <color rgb="FF000000"/>
      <name val="Calibri"/>
      <family val="2"/>
      <scheme val="minor"/>
    </font>
    <font>
      <sz val="11"/>
      <color theme="1"/>
      <name val="Calibri"/>
      <family val="2"/>
    </font>
    <font>
      <sz val="11"/>
      <name val="Calibri"/>
      <family val="2"/>
    </font>
    <font>
      <sz val="11"/>
      <color rgb="FF333333"/>
      <name val="Calibri"/>
      <family val="2"/>
    </font>
    <font>
      <i/>
      <sz val="10"/>
      <color rgb="FF000000"/>
      <name val="Calibri"/>
      <family val="2"/>
    </font>
    <font>
      <sz val="10"/>
      <color rgb="FF000000"/>
      <name val="Calibri"/>
      <family val="2"/>
    </font>
    <font>
      <b/>
      <sz val="11"/>
      <color theme="1"/>
      <name val="Calibri"/>
      <family val="2"/>
    </font>
    <font>
      <b/>
      <sz val="14"/>
      <color rgb="FF000000"/>
      <name val="Calibri"/>
      <family val="2"/>
      <scheme val="minor"/>
    </font>
    <font>
      <sz val="8"/>
      <name val="Calibri"/>
      <family val="2"/>
      <scheme val="minor"/>
    </font>
    <font>
      <b/>
      <sz val="11"/>
      <name val="Calibri"/>
      <family val="2"/>
    </font>
    <font>
      <u/>
      <sz val="11"/>
      <name val="Calibri"/>
      <family val="2"/>
      <scheme val="minor"/>
    </font>
    <font>
      <b/>
      <sz val="11"/>
      <name val="Calibri"/>
      <family val="2"/>
      <scheme val="minor"/>
    </font>
    <font>
      <sz val="10"/>
      <name val="Calibri"/>
      <family val="2"/>
      <scheme val="minor"/>
    </font>
    <font>
      <b/>
      <sz val="20"/>
      <color rgb="FF000000"/>
      <name val="Calibri"/>
      <family val="2"/>
      <scheme val="minor"/>
    </font>
    <font>
      <i/>
      <sz val="11"/>
      <color rgb="FF000000"/>
      <name val="Calibri"/>
      <family val="2"/>
      <charset val="1"/>
    </font>
    <font>
      <b/>
      <sz val="11"/>
      <color rgb="FF000000"/>
      <name val="Calibri"/>
      <family val="2"/>
      <scheme val="minor"/>
    </font>
    <font>
      <sz val="11"/>
      <color rgb="FF000000"/>
      <name val="Calibri"/>
      <family val="2"/>
      <scheme val="minor"/>
    </font>
    <font>
      <b/>
      <sz val="12"/>
      <color theme="1"/>
      <name val="Calibri"/>
      <family val="2"/>
      <scheme val="minor"/>
    </font>
    <font>
      <u/>
      <sz val="10"/>
      <name val="Calibri"/>
      <family val="2"/>
      <scheme val="minor"/>
    </font>
    <font>
      <b/>
      <sz val="16"/>
      <name val="Calibri"/>
      <family val="2"/>
      <scheme val="minor"/>
    </font>
    <font>
      <i/>
      <sz val="11"/>
      <name val="Calibri"/>
      <family val="2"/>
      <scheme val="minor"/>
    </font>
    <font>
      <b/>
      <i/>
      <sz val="11"/>
      <name val="Calibri"/>
      <family val="2"/>
      <scheme val="minor"/>
    </font>
    <font>
      <sz val="11"/>
      <name val="Arial"/>
      <family val="2"/>
    </font>
  </fonts>
  <fills count="19">
    <fill>
      <patternFill patternType="none"/>
    </fill>
    <fill>
      <patternFill patternType="gray125"/>
    </fill>
    <fill>
      <patternFill patternType="solid">
        <fgColor theme="9" tint="0.39997558519241921"/>
        <bgColor indexed="64"/>
      </patternFill>
    </fill>
    <fill>
      <patternFill patternType="solid">
        <fgColor rgb="FFFFFFFF"/>
        <bgColor indexed="64"/>
      </patternFill>
    </fill>
    <fill>
      <patternFill patternType="solid">
        <fgColor rgb="FFE7E6E6"/>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rgb="FFFCD779"/>
        <bgColor indexed="64"/>
      </patternFill>
    </fill>
    <fill>
      <patternFill patternType="solid">
        <fgColor theme="2"/>
        <bgColor indexed="64"/>
      </patternFill>
    </fill>
    <fill>
      <patternFill patternType="solid">
        <fgColor indexed="65"/>
        <bgColor indexed="64"/>
      </patternFill>
    </fill>
    <fill>
      <patternFill patternType="solid">
        <fgColor rgb="FF009999"/>
        <bgColor indexed="64"/>
      </patternFill>
    </fill>
    <fill>
      <patternFill patternType="solid">
        <fgColor theme="2" tint="-9.9978637043366805E-2"/>
        <bgColor indexed="64"/>
      </patternFill>
    </fill>
    <fill>
      <patternFill patternType="solid">
        <fgColor rgb="FF2BABA5"/>
        <bgColor indexed="64"/>
      </patternFill>
    </fill>
    <fill>
      <patternFill patternType="solid">
        <fgColor rgb="FF68C6B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theme="6"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bottom style="thin">
        <color theme="6"/>
      </bottom>
      <diagonal/>
    </border>
    <border>
      <left/>
      <right style="medium">
        <color indexed="64"/>
      </right>
      <top/>
      <bottom style="medium">
        <color indexed="64"/>
      </bottom>
      <diagonal/>
    </border>
  </borders>
  <cellStyleXfs count="4">
    <xf numFmtId="0" fontId="0" fillId="0" borderId="0"/>
    <xf numFmtId="0" fontId="4" fillId="0" borderId="0"/>
    <xf numFmtId="0" fontId="12" fillId="0" borderId="0" applyNumberFormat="0" applyFill="0" applyBorder="0" applyAlignment="0" applyProtection="0"/>
    <xf numFmtId="0" fontId="7" fillId="0" borderId="0" applyNumberFormat="0" applyFill="0" applyBorder="0" applyAlignment="0" applyProtection="0"/>
  </cellStyleXfs>
  <cellXfs count="252">
    <xf numFmtId="0" fontId="0" fillId="0" borderId="0" xfId="0"/>
    <xf numFmtId="0" fontId="3" fillId="0" borderId="0" xfId="0" applyFont="1"/>
    <xf numFmtId="0" fontId="3" fillId="0" borderId="1" xfId="0" applyFont="1" applyBorder="1" applyAlignment="1">
      <alignment vertical="top"/>
    </xf>
    <xf numFmtId="0" fontId="0" fillId="0" borderId="1" xfId="0" applyBorder="1" applyAlignment="1">
      <alignment vertical="top" wrapText="1"/>
    </xf>
    <xf numFmtId="0" fontId="0" fillId="0" borderId="6" xfId="0" applyBorder="1" applyAlignment="1">
      <alignment vertical="top" wrapText="1"/>
    </xf>
    <xf numFmtId="0" fontId="10" fillId="4" borderId="6" xfId="0" applyFont="1" applyFill="1" applyBorder="1" applyAlignment="1">
      <alignment horizontal="left" vertical="center"/>
    </xf>
    <xf numFmtId="0" fontId="10" fillId="4" borderId="2" xfId="0" applyFont="1" applyFill="1" applyBorder="1" applyAlignment="1">
      <alignment horizontal="center" vertical="center"/>
    </xf>
    <xf numFmtId="0" fontId="11" fillId="3" borderId="5" xfId="0" applyFont="1" applyFill="1" applyBorder="1" applyAlignment="1">
      <alignment vertical="center" wrapText="1"/>
    </xf>
    <xf numFmtId="0" fontId="0" fillId="0" borderId="6" xfId="0" applyBorder="1" applyAlignment="1">
      <alignment vertical="center" wrapText="1"/>
    </xf>
    <xf numFmtId="0" fontId="11" fillId="3" borderId="6" xfId="0" applyFont="1" applyFill="1" applyBorder="1" applyAlignment="1">
      <alignment vertical="center" wrapText="1"/>
    </xf>
    <xf numFmtId="0" fontId="0" fillId="0" borderId="0" xfId="0" applyAlignment="1">
      <alignment vertical="center" wrapText="1"/>
    </xf>
    <xf numFmtId="0" fontId="6" fillId="0" borderId="0" xfId="1" applyFont="1" applyAlignment="1">
      <alignment vertical="center"/>
    </xf>
    <xf numFmtId="0" fontId="5" fillId="2" borderId="0" xfId="1" applyFont="1" applyFill="1" applyAlignment="1">
      <alignment vertical="center"/>
    </xf>
    <xf numFmtId="0" fontId="5" fillId="2" borderId="0" xfId="1" applyFont="1" applyFill="1" applyAlignment="1">
      <alignment vertical="center" wrapText="1"/>
    </xf>
    <xf numFmtId="0" fontId="5" fillId="0" borderId="0" xfId="1" applyFont="1" applyAlignment="1">
      <alignment vertical="center"/>
    </xf>
    <xf numFmtId="0" fontId="14" fillId="0" borderId="0" xfId="0" applyFont="1" applyAlignment="1">
      <alignment horizontal="center" vertical="center"/>
    </xf>
    <xf numFmtId="0" fontId="14" fillId="0" borderId="0" xfId="0" applyFont="1" applyAlignment="1">
      <alignment horizontal="center" vertical="center" wrapText="1"/>
    </xf>
    <xf numFmtId="0" fontId="15" fillId="0" borderId="0" xfId="2" applyFont="1" applyFill="1" applyBorder="1" applyAlignment="1">
      <alignment horizontal="center" vertical="center" wrapText="1"/>
    </xf>
    <xf numFmtId="0" fontId="16" fillId="0" borderId="0" xfId="0" applyFont="1" applyAlignment="1">
      <alignment horizontal="left" vertical="center" indent="1"/>
    </xf>
    <xf numFmtId="0" fontId="16" fillId="0" borderId="0" xfId="0" applyFont="1" applyAlignment="1">
      <alignment horizontal="left" vertical="center" wrapText="1"/>
    </xf>
    <xf numFmtId="0" fontId="14" fillId="0" borderId="0" xfId="1" applyFont="1" applyAlignment="1">
      <alignment horizontal="center" vertical="center" wrapText="1"/>
    </xf>
    <xf numFmtId="0" fontId="16" fillId="0" borderId="0" xfId="0" applyFont="1" applyAlignment="1">
      <alignment horizontal="center" vertical="center"/>
    </xf>
    <xf numFmtId="0" fontId="16" fillId="0" borderId="0" xfId="0" applyFont="1" applyAlignment="1">
      <alignment horizontal="center" vertical="center" wrapText="1"/>
    </xf>
    <xf numFmtId="14" fontId="16" fillId="0" borderId="0" xfId="0" applyNumberFormat="1" applyFont="1" applyAlignment="1">
      <alignment horizontal="center" vertical="center"/>
    </xf>
    <xf numFmtId="0" fontId="17" fillId="0" borderId="0" xfId="1" applyFont="1" applyAlignment="1">
      <alignment horizontal="center" vertical="center" wrapText="1"/>
    </xf>
    <xf numFmtId="14" fontId="16" fillId="0" borderId="0" xfId="0" applyNumberFormat="1" applyFont="1" applyAlignment="1">
      <alignment horizontal="center" vertical="center" wrapText="1"/>
    </xf>
    <xf numFmtId="0" fontId="18" fillId="0" borderId="0" xfId="1" applyFont="1" applyAlignment="1">
      <alignment horizontal="center" vertical="center"/>
    </xf>
    <xf numFmtId="0" fontId="19" fillId="0" borderId="0" xfId="1" applyFont="1" applyAlignment="1">
      <alignment horizontal="center" vertical="center" wrapText="1"/>
    </xf>
    <xf numFmtId="0" fontId="13" fillId="0" borderId="0" xfId="1" applyFont="1" applyAlignment="1">
      <alignment horizontal="center" vertical="top" wrapText="1"/>
    </xf>
    <xf numFmtId="0" fontId="22" fillId="0" borderId="0" xfId="1" applyFont="1" applyAlignment="1">
      <alignment horizontal="center" vertical="top" wrapText="1"/>
    </xf>
    <xf numFmtId="0" fontId="0" fillId="0" borderId="0" xfId="0" applyAlignment="1">
      <alignment wrapText="1"/>
    </xf>
    <xf numFmtId="0" fontId="24" fillId="0" borderId="0" xfId="0" applyFont="1"/>
    <xf numFmtId="0" fontId="26" fillId="0" borderId="0" xfId="0" applyFont="1"/>
    <xf numFmtId="0" fontId="11" fillId="0" borderId="0" xfId="0" applyFont="1"/>
    <xf numFmtId="0" fontId="26" fillId="0" borderId="0" xfId="0" applyFont="1" applyAlignment="1">
      <alignment horizontal="left"/>
    </xf>
    <xf numFmtId="0" fontId="1" fillId="0" borderId="0" xfId="0" applyFont="1" applyAlignment="1">
      <alignment vertical="center"/>
    </xf>
    <xf numFmtId="0" fontId="1" fillId="0" borderId="0" xfId="0" applyFont="1" applyAlignment="1">
      <alignment vertical="center" wrapText="1"/>
    </xf>
    <xf numFmtId="0" fontId="25" fillId="0" borderId="0" xfId="0" applyFont="1" applyAlignment="1">
      <alignment wrapText="1"/>
    </xf>
    <xf numFmtId="0" fontId="25" fillId="0" borderId="0" xfId="0" applyFont="1"/>
    <xf numFmtId="0" fontId="28" fillId="0" borderId="0" xfId="0" applyFont="1" applyAlignment="1">
      <alignment vertical="center"/>
    </xf>
    <xf numFmtId="0" fontId="25" fillId="0" borderId="0" xfId="0" applyFont="1" applyAlignment="1">
      <alignment horizontal="left"/>
    </xf>
    <xf numFmtId="0" fontId="0" fillId="0" borderId="0" xfId="0" applyAlignment="1">
      <alignment vertical="top"/>
    </xf>
    <xf numFmtId="0" fontId="30" fillId="0" borderId="0" xfId="0" applyFont="1" applyAlignment="1">
      <alignment vertical="center"/>
    </xf>
    <xf numFmtId="0" fontId="3" fillId="10" borderId="0" xfId="0" applyFont="1" applyFill="1"/>
    <xf numFmtId="0" fontId="1" fillId="6" borderId="0" xfId="0" applyFont="1" applyFill="1" applyAlignment="1">
      <alignment vertical="center" wrapText="1"/>
    </xf>
    <xf numFmtId="0" fontId="1" fillId="6" borderId="0" xfId="0" applyFont="1" applyFill="1" applyAlignment="1">
      <alignment vertical="center"/>
    </xf>
    <xf numFmtId="0" fontId="18" fillId="3" borderId="2" xfId="0" applyFont="1" applyFill="1" applyBorder="1" applyAlignment="1">
      <alignment vertical="center" wrapText="1"/>
    </xf>
    <xf numFmtId="0" fontId="26" fillId="2" borderId="0" xfId="1" applyFont="1" applyFill="1" applyAlignment="1">
      <alignment vertical="center"/>
    </xf>
    <xf numFmtId="0" fontId="33" fillId="2" borderId="0" xfId="1" applyFont="1" applyFill="1" applyAlignment="1">
      <alignment vertical="center"/>
    </xf>
    <xf numFmtId="0" fontId="26" fillId="2" borderId="0" xfId="1" applyFont="1" applyFill="1" applyAlignment="1">
      <alignment vertical="center" wrapText="1"/>
    </xf>
    <xf numFmtId="0" fontId="26" fillId="2" borderId="0" xfId="1" applyFont="1" applyFill="1" applyAlignment="1">
      <alignment horizontal="center" vertical="center" wrapText="1"/>
    </xf>
    <xf numFmtId="0" fontId="26" fillId="2" borderId="0" xfId="1" applyFont="1" applyFill="1" applyAlignment="1">
      <alignment vertical="top" wrapText="1"/>
    </xf>
    <xf numFmtId="0" fontId="26" fillId="0" borderId="0" xfId="1" applyFont="1" applyAlignment="1">
      <alignment vertical="center"/>
    </xf>
    <xf numFmtId="0" fontId="26" fillId="0" borderId="0" xfId="0" applyFont="1" applyAlignment="1">
      <alignment horizontal="center" vertical="center" wrapText="1"/>
    </xf>
    <xf numFmtId="0" fontId="26" fillId="0" borderId="0" xfId="1" applyFont="1" applyAlignment="1">
      <alignment horizontal="center" vertical="center" wrapText="1"/>
    </xf>
    <xf numFmtId="0" fontId="13" fillId="0" borderId="0" xfId="0" applyFont="1" applyAlignment="1">
      <alignment horizontal="center" vertical="center" wrapText="1"/>
    </xf>
    <xf numFmtId="0" fontId="26" fillId="0" borderId="0" xfId="1" applyFont="1" applyAlignment="1">
      <alignment horizontal="center" vertical="center"/>
    </xf>
    <xf numFmtId="0" fontId="32" fillId="0" borderId="0" xfId="2" applyFont="1" applyFill="1" applyBorder="1" applyAlignment="1">
      <alignment horizontal="center" vertical="center" wrapText="1"/>
    </xf>
    <xf numFmtId="0" fontId="32" fillId="0" borderId="0" xfId="2" applyFont="1" applyFill="1" applyBorder="1" applyAlignment="1">
      <alignment horizontal="center" vertical="center"/>
    </xf>
    <xf numFmtId="0" fontId="26" fillId="0" borderId="0" xfId="0" applyFont="1" applyAlignment="1">
      <alignment horizontal="center" vertical="center"/>
    </xf>
    <xf numFmtId="0" fontId="26" fillId="0" borderId="0" xfId="0" applyFont="1" applyAlignment="1">
      <alignment vertical="center"/>
    </xf>
    <xf numFmtId="0" fontId="32" fillId="0" borderId="0" xfId="2" applyFont="1" applyFill="1" applyBorder="1" applyAlignment="1">
      <alignment horizontal="center" vertical="center" wrapText="1"/>
    </xf>
    <xf numFmtId="0" fontId="23" fillId="0" borderId="0" xfId="2" applyFont="1" applyFill="1" applyBorder="1" applyAlignment="1">
      <alignment horizontal="center" vertical="center"/>
    </xf>
    <xf numFmtId="0" fontId="26" fillId="0" borderId="0" xfId="1" applyFont="1" applyAlignment="1">
      <alignment horizontal="left" vertical="center" wrapText="1"/>
    </xf>
    <xf numFmtId="0" fontId="26" fillId="0" borderId="0" xfId="0" applyFont="1" applyAlignment="1">
      <alignment vertical="center" wrapText="1"/>
    </xf>
    <xf numFmtId="0" fontId="26" fillId="0" borderId="0" xfId="0" applyFont="1" applyAlignment="1">
      <alignment vertical="top" wrapText="1"/>
    </xf>
    <xf numFmtId="0" fontId="37" fillId="0" borderId="0" xfId="0" applyFont="1" applyAlignment="1">
      <alignment horizontal="center" vertical="center" wrapText="1"/>
    </xf>
    <xf numFmtId="0" fontId="37" fillId="0" borderId="0" xfId="0" applyFont="1" applyAlignment="1">
      <alignment horizontal="center" vertical="center"/>
    </xf>
    <xf numFmtId="0" fontId="36" fillId="0" borderId="0" xfId="0" applyFont="1" applyAlignment="1">
      <alignment horizontal="center" vertical="center" wrapText="1"/>
    </xf>
    <xf numFmtId="0" fontId="7" fillId="0" borderId="0" xfId="2" applyFont="1" applyAlignment="1">
      <alignment horizontal="center" vertical="center" wrapText="1"/>
    </xf>
    <xf numFmtId="0" fontId="38" fillId="0" borderId="0" xfId="1" applyFont="1" applyAlignment="1">
      <alignment horizontal="center" vertical="center" wrapText="1"/>
    </xf>
    <xf numFmtId="0" fontId="39" fillId="0" borderId="0" xfId="1" applyFont="1" applyAlignment="1">
      <alignment horizontal="center" vertical="top" wrapText="1"/>
    </xf>
    <xf numFmtId="0" fontId="40" fillId="0" borderId="0" xfId="1" applyFont="1" applyAlignment="1">
      <alignment horizontal="center" vertical="top" wrapText="1"/>
    </xf>
    <xf numFmtId="0" fontId="36" fillId="0" borderId="0" xfId="1" applyFont="1" applyAlignment="1">
      <alignment horizontal="center" vertical="center" wrapText="1"/>
    </xf>
    <xf numFmtId="0" fontId="23" fillId="0" borderId="0" xfId="2" applyFont="1" applyFill="1" applyBorder="1" applyAlignment="1">
      <alignment horizontal="center" vertical="top" wrapText="1"/>
    </xf>
    <xf numFmtId="0" fontId="19" fillId="5" borderId="0" xfId="1" applyFont="1" applyFill="1" applyAlignment="1">
      <alignment horizontal="center" vertical="center" wrapText="1"/>
    </xf>
    <xf numFmtId="0" fontId="10" fillId="13" borderId="6" xfId="0" applyFont="1" applyFill="1" applyBorder="1" applyAlignment="1">
      <alignment horizontal="center" vertical="center"/>
    </xf>
    <xf numFmtId="0" fontId="3" fillId="2" borderId="3" xfId="0" applyFont="1" applyFill="1" applyBorder="1" applyAlignment="1">
      <alignment vertical="top"/>
    </xf>
    <xf numFmtId="0" fontId="3" fillId="11" borderId="3" xfId="0" applyFont="1" applyFill="1" applyBorder="1" applyAlignment="1">
      <alignment vertical="top"/>
    </xf>
    <xf numFmtId="0" fontId="3" fillId="10" borderId="3" xfId="0" applyFont="1" applyFill="1" applyBorder="1" applyAlignment="1">
      <alignment vertical="top"/>
    </xf>
    <xf numFmtId="0" fontId="0" fillId="0" borderId="0" xfId="0" applyAlignment="1">
      <alignment vertical="top" wrapText="1"/>
    </xf>
    <xf numFmtId="0" fontId="26" fillId="0" borderId="0" xfId="1" applyFont="1" applyAlignment="1">
      <alignment horizontal="center" vertical="top" wrapText="1"/>
    </xf>
    <xf numFmtId="0" fontId="11" fillId="3" borderId="5" xfId="0" applyFont="1" applyFill="1" applyBorder="1" applyAlignment="1">
      <alignment vertical="top" wrapText="1"/>
    </xf>
    <xf numFmtId="0" fontId="11" fillId="5" borderId="4" xfId="0" applyFont="1" applyFill="1" applyBorder="1" applyAlignment="1">
      <alignment vertical="top" wrapText="1"/>
    </xf>
    <xf numFmtId="0" fontId="11" fillId="8" borderId="4" xfId="0" applyFont="1" applyFill="1" applyBorder="1" applyAlignment="1">
      <alignment vertical="top" wrapText="1"/>
    </xf>
    <xf numFmtId="0" fontId="11" fillId="8" borderId="6" xfId="0" applyFont="1" applyFill="1" applyBorder="1" applyAlignment="1">
      <alignment vertical="top" wrapText="1"/>
    </xf>
    <xf numFmtId="0" fontId="11" fillId="12" borderId="6" xfId="0" applyFont="1" applyFill="1" applyBorder="1" applyAlignment="1">
      <alignment vertical="top" wrapText="1"/>
    </xf>
    <xf numFmtId="0" fontId="41" fillId="0" borderId="0" xfId="1" applyFont="1" applyAlignment="1">
      <alignment horizontal="center" vertical="center" wrapText="1"/>
    </xf>
    <xf numFmtId="0" fontId="42" fillId="2" borderId="0" xfId="1" applyFont="1" applyFill="1" applyAlignment="1">
      <alignment vertical="center"/>
    </xf>
    <xf numFmtId="0" fontId="41" fillId="5" borderId="0" xfId="1" applyFont="1" applyFill="1" applyAlignment="1">
      <alignment horizontal="center" vertical="center" wrapText="1"/>
    </xf>
    <xf numFmtId="0" fontId="38" fillId="0" borderId="0" xfId="1" applyFont="1" applyFill="1" applyAlignment="1">
      <alignment horizontal="center" vertical="center" wrapText="1"/>
    </xf>
    <xf numFmtId="0" fontId="14" fillId="0" borderId="0" xfId="1" applyFont="1" applyFill="1" applyAlignment="1">
      <alignment horizontal="center" vertical="center" wrapText="1"/>
    </xf>
    <xf numFmtId="0" fontId="7" fillId="0" borderId="0" xfId="2" applyFont="1" applyFill="1" applyBorder="1" applyAlignment="1">
      <alignment horizontal="center" vertical="center" wrapText="1"/>
    </xf>
    <xf numFmtId="14" fontId="37" fillId="0" borderId="0" xfId="0" applyNumberFormat="1" applyFont="1" applyAlignment="1">
      <alignment horizontal="center" vertical="center" wrapText="1"/>
    </xf>
    <xf numFmtId="0" fontId="16" fillId="0" borderId="0" xfId="0" applyFont="1" applyFill="1" applyAlignment="1">
      <alignment horizontal="center" vertical="center"/>
    </xf>
    <xf numFmtId="0" fontId="16" fillId="0" borderId="0" xfId="1" applyFont="1" applyAlignment="1">
      <alignment horizontal="center" vertical="center" wrapText="1"/>
    </xf>
    <xf numFmtId="0" fontId="16" fillId="0" borderId="0" xfId="1" applyFont="1" applyFill="1" applyAlignment="1">
      <alignment horizontal="center" vertical="center" wrapText="1"/>
    </xf>
    <xf numFmtId="0" fontId="16" fillId="0" borderId="0" xfId="0" applyFont="1" applyFill="1" applyAlignment="1">
      <alignment horizontal="center" vertical="center" wrapText="1"/>
    </xf>
    <xf numFmtId="0" fontId="19" fillId="0" borderId="0" xfId="1" applyFont="1" applyFill="1" applyAlignment="1">
      <alignment horizontal="center" vertical="center" wrapText="1"/>
    </xf>
    <xf numFmtId="0" fontId="44" fillId="0" borderId="0" xfId="1" applyFont="1" applyFill="1" applyAlignment="1">
      <alignment horizontal="center" vertical="center" wrapText="1"/>
    </xf>
    <xf numFmtId="0" fontId="45" fillId="0" borderId="0" xfId="2" applyFont="1" applyFill="1" applyAlignment="1">
      <alignment horizontal="center" vertical="center" wrapText="1"/>
    </xf>
    <xf numFmtId="0" fontId="26" fillId="0" borderId="0" xfId="1" applyFont="1" applyFill="1" applyAlignment="1">
      <alignment horizontal="center" vertical="center" wrapText="1"/>
    </xf>
    <xf numFmtId="0" fontId="29" fillId="2" borderId="0" xfId="1" applyFont="1" applyFill="1" applyAlignment="1">
      <alignment horizontal="center" vertical="center" wrapText="1"/>
    </xf>
    <xf numFmtId="0" fontId="0" fillId="2" borderId="6" xfId="0" applyFill="1" applyBorder="1" applyAlignment="1">
      <alignment vertical="top" wrapText="1"/>
    </xf>
    <xf numFmtId="0" fontId="13" fillId="0" borderId="0" xfId="1" applyFont="1" applyBorder="1" applyAlignment="1">
      <alignment horizontal="center" vertical="top" wrapText="1"/>
    </xf>
    <xf numFmtId="0" fontId="26" fillId="0" borderId="0" xfId="0" applyFont="1" applyBorder="1" applyAlignment="1">
      <alignment horizontal="center" vertical="center" wrapText="1"/>
    </xf>
    <xf numFmtId="0" fontId="26" fillId="0" borderId="0" xfId="0" applyFont="1" applyBorder="1" applyAlignment="1">
      <alignment horizontal="center" vertical="center"/>
    </xf>
    <xf numFmtId="0" fontId="26" fillId="0" borderId="0" xfId="1" applyFont="1" applyBorder="1" applyAlignment="1">
      <alignment horizontal="center" vertical="center" wrapText="1"/>
    </xf>
    <xf numFmtId="0" fontId="26" fillId="0" borderId="0" xfId="1" applyFont="1" applyBorder="1" applyAlignment="1">
      <alignment horizontal="center" vertical="top" wrapText="1"/>
    </xf>
    <xf numFmtId="0" fontId="0" fillId="0" borderId="0" xfId="0" applyFont="1"/>
    <xf numFmtId="0" fontId="24" fillId="0" borderId="0" xfId="0" applyFont="1" applyAlignment="1">
      <alignment horizontal="left" vertical="center" wrapText="1"/>
    </xf>
    <xf numFmtId="0" fontId="24" fillId="0" borderId="0" xfId="0" applyFont="1" applyAlignment="1">
      <alignment horizontal="left" vertical="top"/>
    </xf>
    <xf numFmtId="0" fontId="24" fillId="0" borderId="0" xfId="0" applyFont="1" applyFill="1" applyAlignment="1">
      <alignment horizontal="left" vertical="top"/>
    </xf>
    <xf numFmtId="0" fontId="35" fillId="2" borderId="8" xfId="1" applyFont="1" applyFill="1" applyBorder="1" applyAlignment="1">
      <alignment vertical="center"/>
    </xf>
    <xf numFmtId="0" fontId="35" fillId="2" borderId="9" xfId="1" applyFont="1" applyFill="1" applyBorder="1" applyAlignment="1">
      <alignment vertical="center"/>
    </xf>
    <xf numFmtId="0" fontId="47" fillId="2" borderId="9" xfId="1" applyFont="1" applyFill="1" applyBorder="1" applyAlignment="1">
      <alignment horizontal="left" vertical="center" wrapText="1"/>
    </xf>
    <xf numFmtId="0" fontId="34" fillId="2" borderId="9" xfId="1" applyFont="1" applyFill="1" applyBorder="1" applyAlignment="1">
      <alignment vertical="center" wrapText="1"/>
    </xf>
    <xf numFmtId="0" fontId="13" fillId="2" borderId="9" xfId="1" applyFont="1" applyFill="1" applyBorder="1" applyAlignment="1">
      <alignment horizontal="center" vertical="center" wrapText="1"/>
    </xf>
    <xf numFmtId="0" fontId="13" fillId="2" borderId="10" xfId="1" applyFont="1" applyFill="1" applyBorder="1" applyAlignment="1">
      <alignment horizontal="center" vertical="center" wrapText="1"/>
    </xf>
    <xf numFmtId="0" fontId="48" fillId="2" borderId="0" xfId="1" applyFont="1" applyFill="1" applyAlignment="1">
      <alignment vertical="center"/>
    </xf>
    <xf numFmtId="0" fontId="14" fillId="0" borderId="0" xfId="0" applyFont="1" applyBorder="1" applyAlignment="1">
      <alignment horizontal="center" vertical="center" wrapText="1"/>
    </xf>
    <xf numFmtId="0" fontId="16" fillId="0" borderId="0" xfId="0" applyFont="1" applyFill="1" applyBorder="1" applyAlignment="1">
      <alignment horizontal="center" vertical="center"/>
    </xf>
    <xf numFmtId="14" fontId="16" fillId="0" borderId="0" xfId="0" applyNumberFormat="1" applyFont="1" applyFill="1" applyBorder="1" applyAlignment="1">
      <alignment horizontal="center" vertical="center"/>
    </xf>
    <xf numFmtId="0" fontId="16" fillId="0" borderId="0" xfId="0" applyFont="1" applyFill="1" applyBorder="1" applyAlignment="1">
      <alignment horizontal="center" vertical="center" wrapText="1"/>
    </xf>
    <xf numFmtId="0" fontId="16" fillId="0" borderId="0" xfId="0" applyFont="1" applyBorder="1" applyAlignment="1">
      <alignment horizontal="center" vertical="center" wrapText="1"/>
    </xf>
    <xf numFmtId="0" fontId="12" fillId="0" borderId="0" xfId="2" applyBorder="1" applyAlignment="1">
      <alignment horizontal="center" vertical="center" wrapText="1"/>
    </xf>
    <xf numFmtId="0" fontId="4" fillId="0" borderId="0" xfId="0" applyFont="1" applyAlignment="1">
      <alignment horizontal="center" vertical="center" wrapText="1"/>
    </xf>
    <xf numFmtId="0" fontId="49" fillId="0" borderId="0" xfId="0" applyFont="1" applyAlignment="1">
      <alignment wrapText="1"/>
    </xf>
    <xf numFmtId="0" fontId="31" fillId="0" borderId="0" xfId="0" applyFont="1" applyAlignment="1">
      <alignment wrapText="1"/>
    </xf>
    <xf numFmtId="0" fontId="26" fillId="0" borderId="0" xfId="0" applyFont="1" applyFill="1" applyBorder="1"/>
    <xf numFmtId="0" fontId="7" fillId="0" borderId="0" xfId="2" applyFont="1" applyBorder="1" applyAlignment="1">
      <alignment horizontal="center" vertical="center" wrapText="1"/>
    </xf>
    <xf numFmtId="0" fontId="25" fillId="0" borderId="0" xfId="0" applyFont="1" applyFill="1"/>
    <xf numFmtId="0" fontId="25" fillId="0" borderId="0" xfId="0" applyFont="1" applyFill="1" applyAlignment="1">
      <alignment wrapText="1"/>
    </xf>
    <xf numFmtId="0" fontId="25" fillId="0" borderId="0" xfId="0" applyFont="1" applyFill="1" applyAlignment="1">
      <alignment horizontal="left"/>
    </xf>
    <xf numFmtId="0" fontId="26" fillId="0" borderId="0" xfId="0" applyFont="1" applyFill="1"/>
    <xf numFmtId="0" fontId="26" fillId="0" borderId="0" xfId="0" applyFont="1" applyFill="1" applyAlignment="1">
      <alignment horizontal="left"/>
    </xf>
    <xf numFmtId="0" fontId="26" fillId="0" borderId="7" xfId="0" applyFont="1" applyFill="1" applyBorder="1" applyAlignment="1">
      <alignment horizontal="left"/>
    </xf>
    <xf numFmtId="0" fontId="26" fillId="0" borderId="7" xfId="0" applyFont="1" applyFill="1" applyBorder="1"/>
    <xf numFmtId="0" fontId="0" fillId="0" borderId="0" xfId="0" applyBorder="1" applyAlignment="1">
      <alignment horizontal="center" wrapText="1"/>
    </xf>
    <xf numFmtId="0" fontId="1" fillId="0" borderId="13" xfId="0" applyFont="1" applyFill="1" applyBorder="1" applyAlignment="1">
      <alignment vertical="center"/>
    </xf>
    <xf numFmtId="0" fontId="1" fillId="0" borderId="13" xfId="0" applyFont="1" applyFill="1" applyBorder="1" applyAlignment="1">
      <alignment vertical="center" wrapText="1"/>
    </xf>
    <xf numFmtId="0" fontId="25" fillId="0" borderId="0" xfId="0" applyFont="1" applyFill="1" applyBorder="1"/>
    <xf numFmtId="0" fontId="25" fillId="0" borderId="0" xfId="0" applyFont="1" applyFill="1" applyAlignment="1">
      <alignment vertical="center"/>
    </xf>
    <xf numFmtId="0" fontId="26" fillId="0" borderId="0" xfId="0" applyFont="1" applyFill="1" applyAlignment="1">
      <alignment vertical="center"/>
    </xf>
    <xf numFmtId="0" fontId="26" fillId="0" borderId="0" xfId="0" applyFont="1" applyFill="1" applyAlignment="1">
      <alignment vertical="center" wrapText="1"/>
    </xf>
    <xf numFmtId="0" fontId="25" fillId="0" borderId="0" xfId="0" applyFont="1" applyFill="1" applyAlignment="1">
      <alignment vertical="center" wrapText="1"/>
    </xf>
    <xf numFmtId="0" fontId="26" fillId="0" borderId="0" xfId="0" applyFont="1" applyFill="1" applyAlignment="1">
      <alignment horizontal="left" vertical="center"/>
    </xf>
    <xf numFmtId="0" fontId="31" fillId="0" borderId="0" xfId="0" applyFont="1" applyFill="1" applyAlignment="1">
      <alignment vertical="center" wrapText="1"/>
    </xf>
    <xf numFmtId="0" fontId="49" fillId="0" borderId="0" xfId="0" applyFont="1" applyFill="1" applyAlignment="1">
      <alignment vertical="center" wrapText="1"/>
    </xf>
    <xf numFmtId="0" fontId="25" fillId="0" borderId="0" xfId="0" applyFont="1" applyFill="1" applyBorder="1" applyAlignment="1">
      <alignment vertical="center"/>
    </xf>
    <xf numFmtId="0" fontId="26" fillId="0" borderId="0" xfId="0" applyFont="1" applyFill="1" applyBorder="1" applyAlignment="1">
      <alignment vertical="center"/>
    </xf>
    <xf numFmtId="0" fontId="24" fillId="0" borderId="0" xfId="0" applyFont="1" applyFill="1"/>
    <xf numFmtId="0" fontId="0" fillId="0" borderId="0" xfId="0" applyFont="1" applyAlignment="1">
      <alignment vertical="center"/>
    </xf>
    <xf numFmtId="0" fontId="26" fillId="0" borderId="0" xfId="0" applyFont="1" applyFill="1" applyBorder="1" applyAlignment="1">
      <alignment vertical="center" wrapText="1"/>
    </xf>
    <xf numFmtId="0" fontId="26" fillId="0" borderId="0" xfId="0" applyFont="1" applyFill="1" applyAlignment="1">
      <alignment horizontal="left" vertical="center" wrapText="1"/>
    </xf>
    <xf numFmtId="0" fontId="26" fillId="14" borderId="0" xfId="0" applyFont="1" applyFill="1" applyAlignment="1"/>
    <xf numFmtId="0" fontId="50" fillId="9" borderId="0" xfId="0" applyFont="1" applyFill="1" applyAlignment="1">
      <alignment vertical="center"/>
    </xf>
    <xf numFmtId="0" fontId="5" fillId="0" borderId="0" xfId="0" applyFont="1" applyFill="1" applyAlignment="1">
      <alignment horizontal="center" vertical="center" wrapText="1"/>
    </xf>
    <xf numFmtId="0" fontId="5" fillId="0" borderId="0" xfId="0" applyFont="1" applyFill="1" applyAlignment="1">
      <alignment horizontal="center"/>
    </xf>
    <xf numFmtId="0" fontId="5" fillId="0" borderId="0" xfId="0" applyFont="1" applyFill="1" applyAlignment="1">
      <alignment horizontal="center" wrapText="1"/>
    </xf>
    <xf numFmtId="0" fontId="20" fillId="11" borderId="0" xfId="1" applyFont="1" applyFill="1" applyAlignment="1">
      <alignment horizontal="left" vertical="center"/>
    </xf>
    <xf numFmtId="0" fontId="20" fillId="11" borderId="0" xfId="1" applyFont="1" applyFill="1" applyAlignment="1">
      <alignment horizontal="center" vertical="center"/>
    </xf>
    <xf numFmtId="0" fontId="21" fillId="11" borderId="0" xfId="1" applyFont="1" applyFill="1" applyAlignment="1">
      <alignment horizontal="center" vertical="center" wrapText="1"/>
    </xf>
    <xf numFmtId="0" fontId="10" fillId="11" borderId="0" xfId="1" applyFont="1" applyFill="1" applyAlignment="1">
      <alignment horizontal="center" vertical="center" wrapText="1"/>
    </xf>
    <xf numFmtId="0" fontId="3" fillId="15" borderId="3" xfId="0" applyFont="1" applyFill="1" applyBorder="1" applyAlignment="1">
      <alignment vertical="top"/>
    </xf>
    <xf numFmtId="0" fontId="0" fillId="0" borderId="0" xfId="0" applyFont="1" applyAlignment="1">
      <alignment horizontal="center" vertical="center"/>
    </xf>
    <xf numFmtId="0" fontId="0" fillId="6" borderId="0" xfId="0" applyFont="1" applyFill="1" applyAlignment="1">
      <alignment vertical="center" wrapText="1"/>
    </xf>
    <xf numFmtId="0" fontId="0" fillId="6" borderId="0" xfId="0" applyFont="1" applyFill="1" applyAlignment="1">
      <alignment vertical="center"/>
    </xf>
    <xf numFmtId="0" fontId="3" fillId="6" borderId="0" xfId="0" applyFont="1" applyFill="1" applyAlignment="1">
      <alignment vertical="center"/>
    </xf>
    <xf numFmtId="0" fontId="31" fillId="0" borderId="0" xfId="0" applyFont="1" applyAlignment="1">
      <alignment vertical="center"/>
    </xf>
    <xf numFmtId="0" fontId="0" fillId="0" borderId="0" xfId="0" applyFont="1" applyAlignment="1">
      <alignment vertical="center" wrapText="1"/>
    </xf>
    <xf numFmtId="0" fontId="31" fillId="0" borderId="0" xfId="0" applyFont="1" applyAlignment="1">
      <alignment vertical="center" wrapText="1"/>
    </xf>
    <xf numFmtId="0" fontId="24" fillId="0" borderId="0" xfId="0" applyFont="1" applyAlignment="1">
      <alignment vertical="center"/>
    </xf>
    <xf numFmtId="0" fontId="25" fillId="0" borderId="0" xfId="0" applyFont="1" applyAlignment="1">
      <alignment vertical="center"/>
    </xf>
    <xf numFmtId="0" fontId="11" fillId="0" borderId="0" xfId="0" applyFont="1" applyAlignment="1">
      <alignment vertical="center"/>
    </xf>
    <xf numFmtId="0" fontId="0" fillId="0" borderId="0" xfId="0" applyAlignment="1">
      <alignment vertical="center"/>
    </xf>
    <xf numFmtId="0" fontId="25" fillId="0" borderId="0" xfId="0" applyFont="1" applyAlignment="1">
      <alignment vertical="center" wrapText="1"/>
    </xf>
    <xf numFmtId="0" fontId="27" fillId="0" borderId="0" xfId="0" applyFont="1" applyAlignment="1">
      <alignment vertical="center"/>
    </xf>
    <xf numFmtId="0" fontId="25" fillId="0" borderId="0" xfId="0" applyFont="1" applyAlignment="1">
      <alignment horizontal="left" vertical="center"/>
    </xf>
    <xf numFmtId="0" fontId="0" fillId="0" borderId="0" xfId="0" applyNumberFormat="1" applyFont="1" applyAlignment="1">
      <alignment vertical="center"/>
    </xf>
    <xf numFmtId="0" fontId="31" fillId="0" borderId="0" xfId="0" applyFont="1" applyFill="1" applyBorder="1" applyAlignment="1">
      <alignment vertical="center" wrapText="1"/>
    </xf>
    <xf numFmtId="0" fontId="0" fillId="0" borderId="0" xfId="0" applyFont="1" applyBorder="1" applyAlignment="1">
      <alignment vertical="center"/>
    </xf>
    <xf numFmtId="0" fontId="0" fillId="0" borderId="0" xfId="0" applyNumberFormat="1" applyFont="1" applyBorder="1" applyAlignment="1">
      <alignment vertical="center"/>
    </xf>
    <xf numFmtId="0" fontId="11" fillId="0" borderId="0" xfId="0" applyFont="1" applyBorder="1" applyAlignment="1">
      <alignment vertical="center"/>
    </xf>
    <xf numFmtId="0" fontId="0" fillId="0" borderId="0" xfId="0" applyFont="1" applyBorder="1" applyAlignment="1">
      <alignment vertical="center" wrapText="1"/>
    </xf>
    <xf numFmtId="0" fontId="16" fillId="0" borderId="0" xfId="0" applyNumberFormat="1" applyFont="1" applyAlignment="1">
      <alignment horizontal="center" vertical="center"/>
    </xf>
    <xf numFmtId="0" fontId="26" fillId="0" borderId="0" xfId="0" applyFont="1" applyFill="1" applyAlignment="1">
      <alignment horizontal="left" vertical="top" wrapText="1"/>
    </xf>
    <xf numFmtId="0" fontId="26" fillId="0" borderId="0" xfId="0" applyFont="1" applyFill="1" applyAlignment="1">
      <alignment horizontal="left" vertical="top"/>
    </xf>
    <xf numFmtId="0" fontId="26" fillId="0" borderId="0" xfId="0" applyFont="1" applyFill="1" applyBorder="1" applyAlignment="1">
      <alignment horizontal="left" vertical="top" wrapText="1"/>
    </xf>
    <xf numFmtId="0" fontId="51" fillId="0" borderId="0" xfId="0" applyFont="1" applyFill="1"/>
    <xf numFmtId="0" fontId="52" fillId="10" borderId="0" xfId="0" applyFont="1" applyFill="1" applyAlignment="1">
      <alignment vertical="center"/>
    </xf>
    <xf numFmtId="0" fontId="0" fillId="0" borderId="0" xfId="0" applyFont="1" applyAlignment="1">
      <alignment horizontal="center" vertical="center" wrapText="1"/>
    </xf>
    <xf numFmtId="0" fontId="0" fillId="0" borderId="0" xfId="0" applyNumberFormat="1" applyFont="1" applyAlignment="1">
      <alignment horizontal="center" vertical="center" wrapText="1"/>
    </xf>
    <xf numFmtId="0" fontId="0" fillId="0" borderId="0" xfId="0" applyNumberFormat="1" applyFont="1" applyBorder="1" applyAlignment="1">
      <alignment horizontal="center" vertical="center" wrapText="1"/>
    </xf>
    <xf numFmtId="0" fontId="2" fillId="10" borderId="0" xfId="0" applyFont="1" applyFill="1" applyAlignment="1">
      <alignment vertical="center"/>
    </xf>
    <xf numFmtId="0" fontId="0" fillId="0" borderId="0" xfId="0" applyBorder="1" applyAlignment="1">
      <alignment vertical="top" wrapText="1"/>
    </xf>
    <xf numFmtId="0" fontId="0" fillId="0" borderId="0" xfId="0" applyBorder="1" applyAlignment="1">
      <alignment vertical="top"/>
    </xf>
    <xf numFmtId="0" fontId="0" fillId="0" borderId="0" xfId="0" quotePrefix="1" applyBorder="1" applyAlignment="1">
      <alignment vertical="top" wrapText="1"/>
    </xf>
    <xf numFmtId="0" fontId="26" fillId="0" borderId="0" xfId="1" applyFont="1" applyBorder="1" applyAlignment="1">
      <alignment vertical="center"/>
    </xf>
    <xf numFmtId="0" fontId="23" fillId="0" borderId="0" xfId="2" applyFont="1" applyFill="1" applyBorder="1" applyAlignment="1">
      <alignment horizontal="center" vertical="center" wrapText="1"/>
    </xf>
    <xf numFmtId="0" fontId="46" fillId="0" borderId="0" xfId="1" applyFont="1" applyAlignment="1">
      <alignment horizontal="center" vertical="center"/>
    </xf>
    <xf numFmtId="0" fontId="46" fillId="0" borderId="0" xfId="1" applyFont="1" applyAlignment="1">
      <alignment horizontal="center" vertical="center" wrapText="1"/>
    </xf>
    <xf numFmtId="0" fontId="46" fillId="0" borderId="0" xfId="1" applyFont="1" applyFill="1" applyAlignment="1">
      <alignment horizontal="center" vertical="center" wrapText="1"/>
    </xf>
    <xf numFmtId="0" fontId="53" fillId="0" borderId="0" xfId="2" applyFont="1" applyFill="1" applyBorder="1" applyAlignment="1">
      <alignment horizontal="center" vertical="center" wrapText="1"/>
    </xf>
    <xf numFmtId="0" fontId="24" fillId="0" borderId="0" xfId="0" applyFont="1" applyAlignment="1">
      <alignment horizontal="center" vertical="center" wrapText="1"/>
    </xf>
    <xf numFmtId="0" fontId="24" fillId="5" borderId="0" xfId="2" applyFont="1" applyFill="1" applyBorder="1" applyAlignment="1">
      <alignment horizontal="center" vertical="center" wrapText="1"/>
    </xf>
    <xf numFmtId="0" fontId="45" fillId="5" borderId="0" xfId="2" applyFont="1" applyFill="1" applyBorder="1" applyAlignment="1">
      <alignment horizontal="center" vertical="center" wrapText="1"/>
    </xf>
    <xf numFmtId="0" fontId="46" fillId="7" borderId="0" xfId="1" applyFont="1" applyFill="1" applyAlignment="1">
      <alignment horizontal="center" vertical="center" wrapText="1"/>
    </xf>
    <xf numFmtId="0" fontId="24" fillId="7" borderId="0" xfId="0" applyFont="1" applyFill="1" applyAlignment="1">
      <alignment horizontal="center" vertical="center" wrapText="1"/>
    </xf>
    <xf numFmtId="0" fontId="24" fillId="12" borderId="0" xfId="0" applyFont="1" applyFill="1" applyAlignment="1">
      <alignment horizontal="center" vertical="center" wrapText="1"/>
    </xf>
    <xf numFmtId="0" fontId="24" fillId="2" borderId="11" xfId="0" applyFont="1" applyFill="1" applyBorder="1" applyAlignment="1">
      <alignment horizontal="center" vertical="center" wrapText="1"/>
    </xf>
    <xf numFmtId="0" fontId="46" fillId="2" borderId="12" xfId="1" applyFont="1" applyFill="1" applyBorder="1" applyAlignment="1">
      <alignment horizontal="center" vertical="center" wrapText="1"/>
    </xf>
    <xf numFmtId="0" fontId="24" fillId="0" borderId="0" xfId="1" applyFont="1" applyAlignment="1">
      <alignment vertical="center"/>
    </xf>
    <xf numFmtId="0" fontId="24" fillId="2" borderId="0" xfId="1" applyFont="1" applyFill="1" applyAlignment="1">
      <alignment vertical="center" wrapText="1"/>
    </xf>
    <xf numFmtId="0" fontId="24" fillId="0" borderId="0" xfId="2" applyFont="1" applyFill="1" applyAlignment="1">
      <alignment horizontal="center" vertical="center" wrapText="1"/>
    </xf>
    <xf numFmtId="0" fontId="24" fillId="2" borderId="12" xfId="0" applyFont="1" applyFill="1" applyBorder="1" applyAlignment="1">
      <alignment horizontal="center" vertical="center" wrapText="1"/>
    </xf>
    <xf numFmtId="0" fontId="46" fillId="2" borderId="14" xfId="1" applyFont="1" applyFill="1" applyBorder="1" applyAlignment="1">
      <alignment horizontal="center" vertical="center" wrapText="1"/>
    </xf>
    <xf numFmtId="0" fontId="1" fillId="16" borderId="0" xfId="1" applyFont="1" applyFill="1" applyBorder="1" applyAlignment="1">
      <alignment horizontal="left" vertical="center"/>
    </xf>
    <xf numFmtId="0" fontId="7" fillId="16" borderId="0" xfId="2" applyFont="1" applyFill="1" applyBorder="1" applyAlignment="1">
      <alignment horizontal="left" vertical="center"/>
    </xf>
    <xf numFmtId="0" fontId="46" fillId="17" borderId="0" xfId="0" applyFont="1" applyFill="1" applyAlignment="1">
      <alignment vertical="center"/>
    </xf>
    <xf numFmtId="0" fontId="54" fillId="17" borderId="0" xfId="0" applyFont="1" applyFill="1" applyAlignment="1">
      <alignment vertical="center"/>
    </xf>
    <xf numFmtId="0" fontId="24" fillId="17" borderId="0" xfId="0" applyFont="1" applyFill="1" applyAlignment="1">
      <alignment vertical="center"/>
    </xf>
    <xf numFmtId="0" fontId="24" fillId="17" borderId="0" xfId="0" applyFont="1" applyFill="1" applyAlignment="1">
      <alignment horizontal="center" vertical="center" wrapText="1"/>
    </xf>
    <xf numFmtId="0" fontId="24" fillId="17" borderId="0" xfId="0" applyFont="1" applyFill="1" applyAlignment="1">
      <alignment horizontal="center" vertical="center"/>
    </xf>
    <xf numFmtId="0" fontId="55" fillId="17" borderId="0" xfId="0" applyFont="1" applyFill="1" applyAlignment="1">
      <alignment vertical="center"/>
    </xf>
    <xf numFmtId="0" fontId="55" fillId="17" borderId="0" xfId="0" applyFont="1" applyFill="1" applyAlignment="1">
      <alignment horizontal="center" vertical="center"/>
    </xf>
    <xf numFmtId="0" fontId="46" fillId="17" borderId="0" xfId="0" applyFont="1" applyFill="1" applyAlignment="1">
      <alignment horizontal="left" vertical="center" wrapText="1"/>
    </xf>
    <xf numFmtId="0" fontId="46" fillId="17" borderId="0" xfId="0" applyFont="1" applyFill="1" applyAlignment="1">
      <alignment horizontal="center" vertical="center" wrapText="1"/>
    </xf>
    <xf numFmtId="0" fontId="56" fillId="18" borderId="0" xfId="0" applyFont="1" applyFill="1" applyAlignment="1">
      <alignment vertical="center"/>
    </xf>
    <xf numFmtId="0" fontId="46" fillId="18" borderId="0" xfId="0" applyFont="1" applyFill="1" applyAlignment="1">
      <alignment vertical="center"/>
    </xf>
    <xf numFmtId="0" fontId="0" fillId="0" borderId="0" xfId="0" applyAlignment="1">
      <alignment horizontal="center" vertical="center"/>
    </xf>
    <xf numFmtId="0" fontId="24" fillId="0" borderId="0" xfId="1" applyFont="1" applyBorder="1" applyAlignment="1">
      <alignment vertical="center" wrapText="1"/>
    </xf>
    <xf numFmtId="0" fontId="11" fillId="0" borderId="0" xfId="0" applyFont="1" applyBorder="1" applyAlignment="1">
      <alignment vertical="top" wrapText="1"/>
    </xf>
    <xf numFmtId="0" fontId="26" fillId="0" borderId="0" xfId="1" applyFont="1" applyBorder="1" applyAlignment="1">
      <alignment vertical="center" wrapText="1"/>
    </xf>
    <xf numFmtId="0" fontId="24" fillId="0" borderId="0" xfId="0" applyFont="1" applyBorder="1" applyAlignment="1">
      <alignment vertical="top" wrapText="1"/>
    </xf>
    <xf numFmtId="0" fontId="26" fillId="0" borderId="0" xfId="0" applyFont="1" applyBorder="1" applyAlignment="1">
      <alignment vertical="center" wrapText="1"/>
    </xf>
    <xf numFmtId="0" fontId="0" fillId="0" borderId="0" xfId="0" applyBorder="1" applyAlignment="1">
      <alignment vertical="center"/>
    </xf>
    <xf numFmtId="0" fontId="11" fillId="0" borderId="0" xfId="0" applyFont="1" applyBorder="1" applyAlignment="1">
      <alignment vertical="top"/>
    </xf>
    <xf numFmtId="0" fontId="11" fillId="0" borderId="0" xfId="0" applyFont="1" applyBorder="1" applyAlignment="1">
      <alignment vertical="center" wrapText="1"/>
    </xf>
    <xf numFmtId="0" fontId="26" fillId="0" borderId="0" xfId="1" applyFont="1" applyFill="1" applyBorder="1" applyAlignment="1">
      <alignment vertical="center" wrapText="1"/>
    </xf>
    <xf numFmtId="0" fontId="4" fillId="0" borderId="0" xfId="2" applyFont="1" applyBorder="1" applyAlignment="1">
      <alignment vertical="top" wrapText="1"/>
    </xf>
    <xf numFmtId="0" fontId="32" fillId="0" borderId="0" xfId="2" applyFont="1" applyBorder="1" applyAlignment="1">
      <alignment vertical="top" wrapText="1"/>
    </xf>
    <xf numFmtId="0" fontId="32" fillId="0" borderId="0" xfId="2" applyFont="1" applyBorder="1" applyAlignment="1">
      <alignment vertical="center" wrapText="1"/>
    </xf>
    <xf numFmtId="0" fontId="17" fillId="0" borderId="0" xfId="1" applyFont="1" applyFill="1" applyAlignment="1">
      <alignment horizontal="center" vertical="center" wrapText="1"/>
    </xf>
    <xf numFmtId="0" fontId="14" fillId="0" borderId="0" xfId="0" applyFont="1" applyFill="1" applyBorder="1" applyAlignment="1">
      <alignment horizontal="center" vertical="center" wrapText="1"/>
    </xf>
    <xf numFmtId="0" fontId="57" fillId="2" borderId="0" xfId="1" applyFont="1" applyFill="1" applyAlignment="1">
      <alignment vertical="center"/>
    </xf>
    <xf numFmtId="0" fontId="24" fillId="0" borderId="0" xfId="0" applyFont="1" applyAlignment="1">
      <alignment horizontal="left"/>
    </xf>
    <xf numFmtId="0" fontId="44" fillId="4" borderId="6" xfId="0" applyFont="1" applyFill="1" applyBorder="1" applyAlignment="1">
      <alignment horizontal="center" vertical="center"/>
    </xf>
    <xf numFmtId="0" fontId="24" fillId="0" borderId="0" xfId="0" applyFont="1" applyAlignment="1">
      <alignment vertical="center" wrapText="1"/>
    </xf>
    <xf numFmtId="0" fontId="24" fillId="0" borderId="6" xfId="0" applyFont="1" applyBorder="1" applyAlignment="1">
      <alignment vertical="center" wrapText="1"/>
    </xf>
    <xf numFmtId="0" fontId="24" fillId="0" borderId="6" xfId="0" applyFont="1" applyBorder="1" applyAlignment="1">
      <alignment vertical="top" wrapText="1"/>
    </xf>
    <xf numFmtId="0" fontId="0" fillId="0" borderId="13" xfId="0" applyBorder="1" applyAlignment="1">
      <alignment horizontal="center" wrapText="1"/>
    </xf>
  </cellXfs>
  <cellStyles count="4">
    <cellStyle name="Hyperlink" xfId="2" builtinId="8"/>
    <cellStyle name="Hyperlink 2" xfId="3"/>
    <cellStyle name="Normal" xfId="0" builtinId="0"/>
    <cellStyle name="Normal 2" xfId="1"/>
  </cellStyles>
  <dxfs count="109">
    <dxf>
      <font>
        <b val="0"/>
        <i val="0"/>
        <strike val="0"/>
        <condense val="0"/>
        <extend val="0"/>
        <outline val="0"/>
        <shadow val="0"/>
        <u val="none"/>
        <vertAlign val="baseline"/>
        <sz val="11"/>
        <color rgb="FF000000"/>
        <name val="Calibri"/>
        <scheme val="minor"/>
      </font>
      <fill>
        <patternFill patternType="none">
          <fgColor theme="6" tint="0.79998168889431442"/>
          <bgColor indexed="65"/>
        </patternFill>
      </fill>
      <alignment horizontal="left" vertical="top" textRotation="0" indent="0" relativeIndent="255" justifyLastLine="0" shrinkToFit="0" mergeCell="0" readingOrder="0"/>
    </dxf>
    <dxf>
      <font>
        <b val="0"/>
        <i val="0"/>
        <strike val="0"/>
        <condense val="0"/>
        <extend val="0"/>
        <outline val="0"/>
        <shadow val="0"/>
        <u val="none"/>
        <vertAlign val="baseline"/>
        <sz val="11"/>
        <color rgb="FF000000"/>
        <name val="Calibri"/>
        <scheme val="minor"/>
      </font>
      <fill>
        <patternFill patternType="none">
          <fgColor theme="6" tint="0.79998168889431442"/>
          <bgColor indexed="65"/>
        </patternFill>
      </fill>
      <alignment vertical="center" textRotation="0" indent="0" relativeIndent="255" justifyLastLine="0" shrinkToFit="0" mergeCell="0" readingOrder="0"/>
    </dxf>
    <dxf>
      <font>
        <b val="0"/>
        <i val="0"/>
        <strike val="0"/>
        <condense val="0"/>
        <extend val="0"/>
        <outline val="0"/>
        <shadow val="0"/>
        <u val="none"/>
        <vertAlign val="baseline"/>
        <sz val="11"/>
        <color rgb="FF000000"/>
        <name val="Calibri"/>
        <scheme val="minor"/>
      </font>
      <fill>
        <patternFill patternType="none">
          <fgColor theme="6" tint="0.79998168889431442"/>
          <bgColor indexed="65"/>
        </patternFill>
      </fill>
      <alignment vertical="center" textRotation="0" indent="0" relativeIndent="255" justifyLastLine="0" shrinkToFit="0" mergeCell="0" readingOrder="0"/>
    </dxf>
    <dxf>
      <font>
        <b val="0"/>
        <i val="0"/>
        <strike val="0"/>
        <condense val="0"/>
        <extend val="0"/>
        <outline val="0"/>
        <shadow val="0"/>
        <u val="none"/>
        <vertAlign val="baseline"/>
        <sz val="11"/>
        <color rgb="FF000000"/>
        <name val="Calibri"/>
        <scheme val="minor"/>
      </font>
      <fill>
        <patternFill patternType="none">
          <fgColor theme="6" tint="0.79998168889431442"/>
          <bgColor indexed="65"/>
        </patternFill>
      </fill>
      <alignment vertical="center" textRotation="0" indent="0" relativeIndent="255" justifyLastLine="0" shrinkToFit="0" mergeCell="0" readingOrder="0"/>
    </dxf>
    <dxf>
      <font>
        <b val="0"/>
        <i val="0"/>
        <strike val="0"/>
        <condense val="0"/>
        <extend val="0"/>
        <outline val="0"/>
        <shadow val="0"/>
        <u val="none"/>
        <vertAlign val="baseline"/>
        <sz val="11"/>
        <color rgb="FF000000"/>
        <name val="Calibri"/>
        <scheme val="minor"/>
      </font>
      <fill>
        <patternFill patternType="none">
          <fgColor theme="6" tint="0.79998168889431442"/>
          <bgColor indexed="65"/>
        </patternFill>
      </fill>
      <alignment vertical="center" textRotation="0" wrapText="1" indent="0" relativeIndent="255" justifyLastLine="0" shrinkToFit="0" mergeCell="0" readingOrder="0"/>
    </dxf>
    <dxf>
      <font>
        <b val="0"/>
        <i/>
        <strike val="0"/>
        <condense val="0"/>
        <extend val="0"/>
        <outline val="0"/>
        <shadow val="0"/>
        <u val="none"/>
        <vertAlign val="baseline"/>
        <sz val="11"/>
        <color rgb="FF000000"/>
        <name val="Calibri"/>
        <scheme val="minor"/>
      </font>
      <fill>
        <patternFill patternType="none">
          <fgColor theme="6" tint="0.79998168889431442"/>
          <bgColor indexed="65"/>
        </patternFill>
      </fill>
      <alignment vertical="center" textRotation="0" indent="0" relativeIndent="255" justifyLastLine="0" shrinkToFit="0" mergeCell="0" readingOrder="0"/>
    </dxf>
    <dxf>
      <border outline="0">
        <top style="thin">
          <color theme="6"/>
        </top>
        <bottom style="thin">
          <color theme="6"/>
        </bottom>
      </border>
    </dxf>
    <dxf>
      <font>
        <b val="0"/>
        <i val="0"/>
        <strike val="0"/>
        <condense val="0"/>
        <extend val="0"/>
        <outline val="0"/>
        <shadow val="0"/>
        <u val="none"/>
        <vertAlign val="baseline"/>
        <sz val="11"/>
        <color rgb="FF000000"/>
        <name val="Calibri"/>
        <scheme val="minor"/>
      </font>
      <fill>
        <patternFill patternType="none">
          <fgColor theme="6" tint="0.79998168889431442"/>
          <bgColor indexed="65"/>
        </patternFill>
      </fill>
      <alignment textRotation="0" indent="0" relativeIndent="0" justifyLastLine="0" shrinkToFit="0" mergeCell="0" readingOrder="0"/>
    </dxf>
    <dxf>
      <border outline="0">
        <bottom style="thin">
          <color theme="6"/>
        </bottom>
      </border>
    </dxf>
    <dxf>
      <font>
        <b/>
        <i val="0"/>
        <strike val="0"/>
        <condense val="0"/>
        <extend val="0"/>
        <outline val="0"/>
        <shadow val="0"/>
        <u val="none"/>
        <vertAlign val="baseline"/>
        <sz val="11"/>
        <color rgb="FF000000"/>
        <name val="Calibri"/>
        <scheme val="minor"/>
      </font>
      <fill>
        <patternFill patternType="none">
          <bgColor indexed="65"/>
        </patternFill>
      </fill>
      <alignment horizontal="general" vertical="center" textRotation="0" wrapText="1" indent="0" relativeIndent="0" justifyLastLine="0" shrinkToFit="0" mergeCell="0" readingOrder="0"/>
    </dxf>
    <dxf>
      <font>
        <strike val="0"/>
        <outline val="0"/>
        <shadow val="0"/>
        <u val="none"/>
        <vertAlign val="baseline"/>
        <sz val="11"/>
        <color rgb="FF000000"/>
      </font>
      <fill>
        <patternFill>
          <fgColor indexed="64"/>
        </patternFill>
      </fill>
      <alignment textRotation="0" indent="0" relativeIndent="0" justifyLastLine="0" shrinkToFit="0" mergeCell="0" readingOrder="0"/>
    </dxf>
    <dxf>
      <font>
        <strike val="0"/>
        <outline val="0"/>
        <shadow val="0"/>
        <u val="none"/>
        <vertAlign val="baseline"/>
        <sz val="11"/>
        <color rgb="FF000000"/>
      </font>
      <fill>
        <patternFill>
          <fgColor indexed="64"/>
        </patternFill>
      </fill>
      <alignment textRotation="0" indent="0" relativeIndent="0" justifyLastLine="0" shrinkToFit="0" mergeCell="0" readingOrder="0"/>
    </dxf>
    <dxf>
      <font>
        <strike val="0"/>
        <outline val="0"/>
        <shadow val="0"/>
        <u val="none"/>
        <vertAlign val="baseline"/>
        <sz val="11"/>
        <color rgb="FF000000"/>
      </font>
      <fill>
        <patternFill>
          <fgColor indexed="64"/>
        </patternFill>
      </fill>
      <alignment textRotation="0" indent="0" relativeIndent="0" justifyLastLine="0" shrinkToFit="0" mergeCell="0" readingOrder="0"/>
    </dxf>
    <dxf>
      <font>
        <b/>
        <i val="0"/>
        <strike val="0"/>
        <condense val="0"/>
        <extend val="0"/>
        <outline val="0"/>
        <shadow val="0"/>
        <u val="none"/>
        <vertAlign val="baseline"/>
        <sz val="11"/>
        <color rgb="FF000000"/>
        <name val="Calibri"/>
        <scheme val="minor"/>
      </font>
      <fill>
        <patternFill patternType="solid">
          <fgColor indexed="64"/>
          <bgColor theme="9" tint="0.59999389629810485"/>
        </patternFill>
      </fill>
      <alignment horizontal="general" vertical="center" textRotation="0" wrapText="0" indent="0" relativeIndent="0" justifyLastLine="0" shrinkToFit="0" mergeCell="0" readingOrder="0"/>
    </dxf>
    <dxf>
      <font>
        <strike val="0"/>
        <outline val="0"/>
        <shadow val="0"/>
        <u val="none"/>
        <vertAlign val="baseline"/>
        <sz val="11"/>
        <color rgb="FF000000"/>
        <name val="Calibri"/>
        <scheme val="minor"/>
      </font>
      <fill>
        <patternFill patternType="none">
          <fgColor indexed="64"/>
        </patternFill>
      </fill>
    </dxf>
    <dxf>
      <font>
        <strike val="0"/>
        <outline val="0"/>
        <shadow val="0"/>
        <u val="none"/>
        <vertAlign val="baseline"/>
        <sz val="11"/>
        <color rgb="FF000000"/>
        <name val="Calibri"/>
        <scheme val="minor"/>
      </font>
      <fill>
        <patternFill patternType="none">
          <fgColor indexed="64"/>
        </patternFill>
      </fill>
    </dxf>
    <dxf>
      <font>
        <strike val="0"/>
        <outline val="0"/>
        <shadow val="0"/>
        <u val="none"/>
        <vertAlign val="baseline"/>
        <sz val="11"/>
        <color rgb="FF000000"/>
        <name val="Calibri"/>
        <scheme val="minor"/>
      </font>
      <fill>
        <patternFill patternType="none">
          <fgColor indexed="64"/>
        </patternFill>
      </fill>
    </dxf>
    <dxf>
      <font>
        <i/>
        <strike val="0"/>
        <outline val="0"/>
        <shadow val="0"/>
        <u val="none"/>
        <vertAlign val="baseline"/>
        <sz val="11"/>
        <color rgb="FF000000"/>
        <name val="Calibri"/>
        <scheme val="minor"/>
      </font>
      <fill>
        <patternFill patternType="none">
          <fgColor indexed="64"/>
        </patternFill>
      </fill>
    </dxf>
    <dxf>
      <font>
        <strike val="0"/>
        <outline val="0"/>
        <shadow val="0"/>
        <u val="none"/>
        <vertAlign val="baseline"/>
        <sz val="11"/>
        <color rgb="FF000000"/>
        <name val="Calibri"/>
        <scheme val="minor"/>
      </font>
      <fill>
        <patternFill patternType="none">
          <fgColor indexed="64"/>
        </patternFill>
      </fill>
      <alignment textRotation="0" indent="0" relativeIndent="0" justifyLastLine="0" shrinkToFit="0" mergeCell="0" readingOrder="0"/>
    </dxf>
    <dxf>
      <font>
        <b/>
        <i val="0"/>
        <strike val="0"/>
        <condense val="0"/>
        <extend val="0"/>
        <outline val="0"/>
        <shadow val="0"/>
        <u val="none"/>
        <vertAlign val="baseline"/>
        <sz val="11"/>
        <color rgb="FF000000"/>
        <name val="Calibri"/>
        <scheme val="minor"/>
      </font>
      <fill>
        <patternFill patternType="none">
          <fgColor indexed="64"/>
          <bgColor theme="8" tint="0.39997558519241921"/>
        </patternFill>
      </fill>
      <alignment vertical="center" textRotation="0" indent="0" relativeIndent="0" justifyLastLine="0" shrinkToFit="0" mergeCell="0" readingOrder="0"/>
    </dxf>
    <dxf>
      <font>
        <b val="0"/>
        <i val="0"/>
        <strike val="0"/>
        <condense val="0"/>
        <extend val="0"/>
        <outline val="0"/>
        <shadow val="0"/>
        <u val="none"/>
        <vertAlign val="baseline"/>
        <sz val="11"/>
        <color rgb="FF000000"/>
        <name val="Calibri"/>
        <scheme val="minor"/>
      </font>
      <fill>
        <patternFill patternType="none">
          <fgColor indexed="64"/>
          <bgColor indexed="65"/>
        </patternFill>
      </fill>
    </dxf>
    <dxf>
      <font>
        <b val="0"/>
        <i val="0"/>
        <strike val="0"/>
        <condense val="0"/>
        <extend val="0"/>
        <outline val="0"/>
        <shadow val="0"/>
        <u val="none"/>
        <vertAlign val="baseline"/>
        <sz val="11"/>
        <color rgb="FF000000"/>
        <name val="Calibri"/>
        <scheme val="minor"/>
      </font>
      <fill>
        <patternFill patternType="none">
          <fgColor indexed="64"/>
          <bgColor indexed="65"/>
        </patternFill>
      </fill>
    </dxf>
    <dxf>
      <font>
        <b val="0"/>
        <i val="0"/>
        <strike val="0"/>
        <condense val="0"/>
        <extend val="0"/>
        <outline val="0"/>
        <shadow val="0"/>
        <u val="none"/>
        <vertAlign val="baseline"/>
        <sz val="11"/>
        <color rgb="FF000000"/>
        <name val="Calibri"/>
        <scheme val="minor"/>
      </font>
      <fill>
        <patternFill patternType="none">
          <fgColor indexed="64"/>
          <bgColor indexed="65"/>
        </patternFill>
      </fill>
    </dxf>
    <dxf>
      <font>
        <b val="0"/>
        <i val="0"/>
        <strike val="0"/>
        <condense val="0"/>
        <extend val="0"/>
        <outline val="0"/>
        <shadow val="0"/>
        <u val="none"/>
        <vertAlign val="baseline"/>
        <sz val="11"/>
        <color rgb="FF000000"/>
        <name val="Calibri"/>
        <scheme val="minor"/>
      </font>
      <fill>
        <patternFill patternType="none">
          <fgColor indexed="64"/>
          <bgColor indexed="65"/>
        </patternFill>
      </fill>
    </dxf>
    <dxf>
      <font>
        <strike val="0"/>
        <outline val="0"/>
        <shadow val="0"/>
        <vertAlign val="baseline"/>
        <sz val="11"/>
        <name val="Calibri"/>
        <scheme val="minor"/>
      </font>
      <fill>
        <patternFill patternType="none">
          <fgColor indexed="64"/>
          <bgColor auto="1"/>
        </patternFill>
      </fill>
      <alignment textRotation="0" wrapText="0" indent="0" relativeIndent="255" justifyLastLine="0" shrinkToFit="0" mergeCell="0" readingOrder="0"/>
    </dxf>
    <dxf>
      <font>
        <b/>
        <i val="0"/>
        <strike val="0"/>
        <condense val="0"/>
        <extend val="0"/>
        <outline val="0"/>
        <shadow val="0"/>
        <u val="none"/>
        <vertAlign val="baseline"/>
        <sz val="11"/>
        <color rgb="FF000000"/>
        <name val="Calibri"/>
        <scheme val="minor"/>
      </font>
      <fill>
        <patternFill patternType="solid">
          <fgColor indexed="64"/>
          <bgColor theme="2" tint="-9.9978637043366805E-2"/>
        </patternFill>
      </fill>
      <alignment horizontal="left" vertical="center" textRotation="0" wrapText="0" indent="0" relativeIndent="255" justifyLastLine="0" shrinkToFit="0" mergeCell="0" readingOrder="0"/>
    </dxf>
    <dxf>
      <font>
        <strike val="0"/>
        <outline val="0"/>
        <shadow val="0"/>
        <vertAlign val="baseline"/>
        <sz val="11"/>
        <name val="Calibri"/>
      </font>
      <alignment horizontal="center" vertical="center" textRotation="0" wrapText="1" indent="0" relativeIndent="255" justifyLastLine="0" shrinkToFit="0" mergeCell="0" readingOrder="0"/>
    </dxf>
    <dxf>
      <font>
        <strike val="0"/>
        <outline val="0"/>
        <shadow val="0"/>
        <u val="none"/>
        <vertAlign val="baseline"/>
        <color auto="1"/>
        <name val="Calibri"/>
        <scheme val="none"/>
      </font>
      <alignment horizontal="center" vertical="center" textRotation="0" wrapText="1" indent="0" relativeIndent="255" justifyLastLine="0" shrinkToFit="0" readingOrder="0"/>
    </dxf>
    <dxf>
      <font>
        <name val="Calibri"/>
      </font>
      <alignment horizontal="center" vertical="center" textRotation="0" wrapText="1" indent="0" relativeIndent="255"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center" vertical="center" textRotation="0" wrapText="1" indent="0" relativeIndent="255" justifyLastLine="0" shrinkToFit="0" readingOrder="0"/>
    </dxf>
    <dxf>
      <font>
        <b val="0"/>
        <i val="0"/>
        <strike val="0"/>
        <condense val="0"/>
        <extend val="0"/>
        <outline val="0"/>
        <shadow val="0"/>
        <u val="none"/>
        <vertAlign val="baseline"/>
        <sz val="11"/>
        <color auto="1"/>
        <name val="Calibri"/>
        <scheme val="none"/>
      </font>
      <numFmt numFmtId="19" formatCode="dd/mm/yyyy"/>
      <fill>
        <patternFill patternType="none">
          <fgColor indexed="64"/>
          <bgColor indexed="65"/>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auto="1"/>
        <name val="Calibri"/>
        <scheme val="none"/>
      </font>
      <numFmt numFmtId="19" formatCode="dd/mm/yyyy"/>
      <fill>
        <patternFill patternType="none">
          <fgColor indexed="64"/>
          <bgColor indexed="65"/>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relativeIndent="0" justifyLastLine="0" shrinkToFit="0" mergeCell="0" readingOrder="0"/>
    </dxf>
    <dxf>
      <font>
        <name val="Calibri"/>
      </font>
      <alignment horizontal="center" vertical="center" textRotation="0" wrapText="1" indent="0" relativeIndent="255"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relativeIndent="0" justifyLastLine="0" shrinkToFit="0" mergeCell="0" readingOrder="0"/>
    </dxf>
    <dxf>
      <font>
        <name val="Calibri"/>
      </font>
      <alignment horizontal="center" vertical="center" textRotation="0" wrapText="1" indent="0" relativeIndent="255"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name val="Calibri"/>
      </font>
      <alignment horizontal="center" vertical="center" textRotation="0" wrapText="1" indent="0" relativeIndent="255"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1" indent="0" relativeIndent="255" justifyLastLine="0" shrinkToFit="0" readingOrder="0"/>
      <border diagonalUp="0" diagonalDown="0">
        <left style="thin">
          <color indexed="64"/>
        </left>
        <right style="thin">
          <color indexed="64"/>
        </right>
        <top/>
        <bottom/>
      </border>
    </dxf>
    <dxf>
      <font>
        <strike val="0"/>
        <outline val="0"/>
        <shadow val="0"/>
        <u val="none"/>
        <vertAlign val="baseline"/>
        <sz val="11"/>
        <name val="Calibri"/>
      </font>
      <alignment vertical="center" textRotation="0" indent="0" relativeIndent="255" justifyLastLine="0" shrinkToFit="0" mergeCell="0" readingOrder="0"/>
    </dxf>
    <dxf>
      <font>
        <strike val="0"/>
        <outline val="0"/>
        <shadow val="0"/>
        <u val="none"/>
        <vertAlign val="baseline"/>
        <sz val="11"/>
        <name val="Calibri"/>
      </font>
      <alignment vertical="center" textRotation="0" indent="0" relativeIndent="255" justifyLastLine="0" shrinkToFit="0" mergeCell="0" readingOrder="0"/>
    </dxf>
    <dxf>
      <font>
        <strike val="0"/>
        <outline val="0"/>
        <shadow val="0"/>
        <u val="none"/>
        <vertAlign val="baseline"/>
        <sz val="11"/>
        <name val="Calibri"/>
      </font>
      <alignment vertical="center" textRotation="0" indent="0" relativeIndent="255" justifyLastLine="0" shrinkToFit="0" mergeCell="0" readingOrder="0"/>
    </dxf>
    <dxf>
      <font>
        <strike val="0"/>
        <outline val="0"/>
        <shadow val="0"/>
        <u val="none"/>
        <vertAlign val="baseline"/>
        <sz val="11"/>
        <name val="Calibri"/>
      </font>
      <alignment vertical="center" textRotation="0" wrapText="1" indent="0" relativeIndent="255" justifyLastLine="0" shrinkToFit="0" mergeCell="0" readingOrder="0"/>
    </dxf>
    <dxf>
      <font>
        <strike val="0"/>
        <outline val="0"/>
        <shadow val="0"/>
        <u val="none"/>
        <vertAlign val="baseline"/>
        <sz val="11"/>
        <name val="Calibri"/>
      </font>
      <alignment vertical="center" textRotation="0" wrapText="1" indent="0" relativeIndent="255" justifyLastLine="0" shrinkToFit="0" mergeCell="0" readingOrder="0"/>
    </dxf>
    <dxf>
      <font>
        <strike val="0"/>
        <outline val="0"/>
        <shadow val="0"/>
        <u val="none"/>
        <vertAlign val="baseline"/>
        <sz val="11"/>
        <name val="Calibri"/>
      </font>
      <alignment vertical="center" textRotation="0" wrapText="1" indent="0" relativeIndent="255" justifyLastLine="0" shrinkToFit="0" mergeCell="0" readingOrder="0"/>
    </dxf>
    <dxf>
      <font>
        <strike val="0"/>
        <outline val="0"/>
        <shadow val="0"/>
        <u val="none"/>
        <vertAlign val="baseline"/>
        <sz val="11"/>
        <name val="Calibri"/>
      </font>
      <alignment vertical="center" textRotation="0" indent="0" relativeIndent="255" justifyLastLine="0" shrinkToFit="0" mergeCell="0" readingOrder="0"/>
    </dxf>
    <dxf>
      <font>
        <strike val="0"/>
        <outline val="0"/>
        <shadow val="0"/>
        <u val="none"/>
        <vertAlign val="baseline"/>
        <sz val="11"/>
        <name val="Calibri"/>
      </font>
      <alignment vertical="center" textRotation="0" indent="0" relativeIndent="255" justifyLastLine="0" shrinkToFit="0" mergeCell="0" readingOrder="0"/>
    </dxf>
    <dxf>
      <font>
        <strike val="0"/>
        <outline val="0"/>
        <shadow val="0"/>
        <u val="none"/>
        <vertAlign val="baseline"/>
        <sz val="11"/>
        <name val="Calibri"/>
      </font>
      <alignment vertical="center" textRotation="0" indent="0" relativeIndent="255" justifyLastLine="0" shrinkToFit="0" mergeCell="0" readingOrder="0"/>
    </dxf>
    <dxf>
      <font>
        <strike val="0"/>
        <outline val="0"/>
        <shadow val="0"/>
        <u val="none"/>
        <vertAlign val="baseline"/>
        <sz val="11"/>
        <name val="Calibri"/>
      </font>
      <alignment vertical="center" textRotation="0" indent="0" relativeIndent="255" justifyLastLine="0" shrinkToFit="0" mergeCell="0" readingOrder="0"/>
    </dxf>
    <dxf>
      <font>
        <strike val="0"/>
        <outline val="0"/>
        <shadow val="0"/>
        <u val="none"/>
        <vertAlign val="baseline"/>
        <sz val="11"/>
        <name val="Calibri"/>
      </font>
      <alignment vertical="center" textRotation="0" indent="0" relativeIndent="255" justifyLastLine="0" shrinkToFit="0" mergeCell="0" readingOrder="0"/>
    </dxf>
    <dxf>
      <font>
        <strike val="0"/>
        <outline val="0"/>
        <shadow val="0"/>
        <u val="none"/>
        <vertAlign val="baseline"/>
        <sz val="11"/>
        <name val="Calibri"/>
      </font>
      <alignment vertical="center" textRotation="0" wrapText="1" indent="0" relativeIndent="255" justifyLastLine="0" shrinkToFit="0" mergeCell="0" readingOrder="0"/>
    </dxf>
    <dxf>
      <font>
        <strike val="0"/>
        <outline val="0"/>
        <shadow val="0"/>
        <u val="none"/>
        <vertAlign val="baseline"/>
        <sz val="11"/>
        <name val="Calibri"/>
      </font>
      <alignment vertical="center" textRotation="0" indent="0" relativeIndent="255" justifyLastLine="0" shrinkToFit="0" mergeCell="0" readingOrder="0"/>
    </dxf>
    <dxf>
      <font>
        <strike val="0"/>
        <outline val="0"/>
        <shadow val="0"/>
        <u val="none"/>
        <vertAlign val="baseline"/>
        <sz val="11"/>
        <name val="Calibri"/>
      </font>
      <alignment horizontal="center" vertical="center" textRotation="0" indent="0" relativeIndent="255" justifyLastLine="0" shrinkToFit="0" mergeCell="0" readingOrder="0"/>
    </dxf>
    <dxf>
      <font>
        <strike val="0"/>
        <outline val="0"/>
        <shadow val="0"/>
        <u val="none"/>
        <vertAlign val="baseline"/>
        <sz val="11"/>
        <name val="Calibri"/>
      </font>
      <alignment horizontal="center" vertical="center" textRotation="0" wrapText="0" indent="0" relativeIndent="255" justifyLastLine="0" shrinkToFit="0" mergeCell="0" readingOrder="0"/>
    </dxf>
    <dxf>
      <font>
        <strike val="0"/>
        <outline val="0"/>
        <shadow val="0"/>
        <u val="none"/>
        <vertAlign val="baseline"/>
        <sz val="11"/>
        <name val="Calibri"/>
      </font>
      <numFmt numFmtId="0" formatCode="General"/>
      <alignment horizontal="center" vertical="center" textRotation="0" wrapText="1" indent="0" relativeIndent="255" justifyLastLine="0" shrinkToFit="0" mergeCell="0" readingOrder="0"/>
    </dxf>
    <dxf>
      <font>
        <b val="0"/>
        <i val="0"/>
        <strike val="0"/>
        <condense val="0"/>
        <extend val="0"/>
        <outline val="0"/>
        <shadow val="0"/>
        <u val="none"/>
        <vertAlign val="baseline"/>
        <sz val="11"/>
        <color theme="1"/>
        <name val="Calibri"/>
        <scheme val="minor"/>
      </font>
      <alignment horizontal="general" vertical="center" textRotation="0" wrapText="0" indent="0" relativeIndent="0" justifyLastLine="0" shrinkToFit="0" mergeCell="0" readingOrder="0"/>
    </dxf>
    <dxf>
      <font>
        <strike val="0"/>
        <outline val="0"/>
        <shadow val="0"/>
        <u val="none"/>
        <vertAlign val="baseline"/>
        <sz val="11"/>
        <name val="Calibri"/>
      </font>
      <alignment vertical="center" textRotation="0" indent="0" relativeIndent="255" justifyLastLine="0" shrinkToFit="0" mergeCell="0" readingOrder="0"/>
    </dxf>
    <dxf>
      <font>
        <strike val="0"/>
        <outline val="0"/>
        <shadow val="0"/>
        <u val="none"/>
        <vertAlign val="baseline"/>
        <sz val="11"/>
        <color rgb="FF000000"/>
        <name val="Calibri"/>
        <scheme val="none"/>
      </font>
      <alignment vertical="center" textRotation="0" indent="0" relativeIndent="255" justifyLastLine="0" shrinkToFit="0" mergeCell="0" readingOrder="0"/>
    </dxf>
    <dxf>
      <font>
        <strike val="0"/>
        <outline val="0"/>
        <shadow val="0"/>
        <u val="none"/>
        <vertAlign val="baseline"/>
        <sz val="11"/>
        <name val="Calibri"/>
      </font>
      <alignment vertical="center" textRotation="0" indent="0" relativeIndent="255" justifyLastLine="0" shrinkToFit="0" mergeCell="0" readingOrder="0"/>
    </dxf>
    <dxf>
      <font>
        <strike val="0"/>
        <outline val="0"/>
        <shadow val="0"/>
        <u val="none"/>
        <vertAlign val="baseline"/>
        <sz val="11"/>
        <name val="Calibri"/>
      </font>
      <alignment vertical="center" textRotation="0" indent="0" relativeIndent="255" justifyLastLine="0" shrinkToFit="0" mergeCell="0" readingOrder="0"/>
    </dxf>
    <dxf>
      <font>
        <strike val="0"/>
        <outline val="0"/>
        <shadow val="0"/>
        <u val="none"/>
        <vertAlign val="baseline"/>
        <sz val="11"/>
        <name val="Calibri"/>
      </font>
      <numFmt numFmtId="0" formatCode="General"/>
      <alignment vertical="center" textRotation="0" indent="0" relativeIndent="255" justifyLastLine="0" shrinkToFit="0" mergeCell="0" readingOrder="0"/>
    </dxf>
    <dxf>
      <font>
        <strike val="0"/>
        <outline val="0"/>
        <shadow val="0"/>
        <u val="none"/>
        <vertAlign val="baseline"/>
        <sz val="11"/>
        <name val="Calibri"/>
      </font>
      <alignment vertical="center" textRotation="0" indent="0" relativeIndent="255" justifyLastLine="0" shrinkToFit="0" mergeCell="0" readingOrder="0"/>
    </dxf>
    <dxf>
      <font>
        <b val="0"/>
        <i/>
        <strike val="0"/>
        <condense val="0"/>
        <extend val="0"/>
        <outline val="0"/>
        <shadow val="0"/>
        <u val="none"/>
        <vertAlign val="baseline"/>
        <sz val="11"/>
        <color rgb="FF000000"/>
        <name val="Calibri"/>
        <scheme val="none"/>
      </font>
      <alignment horizontal="general" vertical="center" textRotation="0" wrapText="1" indent="0" relativeIndent="255" justifyLastLine="0" shrinkToFit="0" mergeCell="0" readingOrder="0"/>
    </dxf>
    <dxf>
      <font>
        <strike val="0"/>
        <outline val="0"/>
        <shadow val="0"/>
        <u val="none"/>
        <vertAlign val="baseline"/>
        <sz val="11"/>
        <name val="Calibri"/>
      </font>
      <alignment vertical="center" textRotation="0" indent="0" relativeIndent="255" justifyLastLine="0" shrinkToFit="0" mergeCell="0" readingOrder="0"/>
    </dxf>
    <dxf>
      <font>
        <strike val="0"/>
        <outline val="0"/>
        <shadow val="0"/>
        <u val="none"/>
        <vertAlign val="baseline"/>
        <sz val="11"/>
        <name val="Calibri"/>
      </font>
      <fill>
        <patternFill>
          <fgColor indexed="64"/>
        </patternFill>
      </fill>
      <alignment vertical="center" textRotation="0" indent="0" relativeIndent="255" justifyLastLine="0" shrinkToFit="0" mergeCell="0" readingOrder="0"/>
    </dxf>
    <dxf>
      <font>
        <b/>
        <i val="0"/>
        <strike val="0"/>
        <condense val="0"/>
        <extend val="0"/>
        <outline val="0"/>
        <shadow val="0"/>
        <u val="none"/>
        <vertAlign val="baseline"/>
        <sz val="11"/>
        <color rgb="FF000000"/>
        <name val="Calibri"/>
        <scheme val="minor"/>
      </font>
      <fill>
        <patternFill patternType="solid">
          <fgColor indexed="64"/>
          <bgColor theme="9" tint="0.59999389629810485"/>
        </patternFill>
      </fill>
      <alignment vertical="center" textRotation="0" indent="0" relativeIndent="255" justifyLastLine="0" shrinkToFit="0" mergeCell="0" readingOrder="0"/>
    </dxf>
    <dxf>
      <font>
        <color rgb="FF000000"/>
        <name val="Calibri"/>
        <scheme val="minor"/>
      </font>
      <fill>
        <patternFill patternType="none">
          <fgColor indexed="64"/>
          <bgColor indexed="65"/>
        </patternFill>
      </fill>
      <alignment horizontal="general" vertical="center" textRotation="0" wrapText="1" indent="0" relativeIndent="255" justifyLastLine="0" shrinkToFit="0" mergeCell="0" readingOrder="0"/>
    </dxf>
    <dxf>
      <font>
        <color rgb="FF000000"/>
        <name val="Calibri"/>
        <scheme val="minor"/>
      </font>
      <alignment horizontal="general" vertical="center" textRotation="0" indent="0" relativeIndent="255" justifyLastLine="0" shrinkToFit="0" mergeCell="0" readingOrder="0"/>
    </dxf>
    <dxf>
      <font>
        <color rgb="FF000000"/>
        <name val="Calibri"/>
        <scheme val="minor"/>
      </font>
      <alignment horizontal="general" vertical="center" textRotation="0" indent="0" relativeIndent="255" justifyLastLine="0" shrinkToFit="0" mergeCell="0" readingOrder="0"/>
    </dxf>
    <dxf>
      <font>
        <b val="0"/>
        <i val="0"/>
        <strike val="0"/>
        <condense val="0"/>
        <extend val="0"/>
        <outline val="0"/>
        <shadow val="0"/>
        <u val="none"/>
        <vertAlign val="baseline"/>
        <sz val="11"/>
        <color rgb="FF000000"/>
        <name val="Calibri"/>
        <scheme val="minor"/>
      </font>
      <alignment horizontal="general" vertical="center" textRotation="0" wrapText="1" indent="0" relativeIndent="255" justifyLastLine="0" shrinkToFit="0" mergeCell="0" readingOrder="0"/>
    </dxf>
    <dxf>
      <alignment horizontal="general" vertical="top" textRotation="0" wrapText="1" indent="0" relativeIndent="0" justifyLastLine="0" shrinkToFit="0" mergeCell="0" readingOrder="0"/>
    </dxf>
    <dxf>
      <font>
        <b val="0"/>
        <i val="0"/>
        <strike val="0"/>
        <condense val="0"/>
        <extend val="0"/>
        <outline val="0"/>
        <shadow val="0"/>
        <u val="none"/>
        <vertAlign val="baseline"/>
        <sz val="11"/>
        <color rgb="FF000000"/>
        <name val="Calibri"/>
        <scheme val="minor"/>
      </font>
      <alignment horizontal="general" vertical="center" textRotation="0" wrapText="1" indent="0" relativeIndent="255" justifyLastLine="0" shrinkToFit="0" mergeCell="0" readingOrder="0"/>
    </dxf>
    <dxf>
      <font>
        <b val="0"/>
        <i val="0"/>
        <strike val="0"/>
        <condense val="0"/>
        <extend val="0"/>
        <outline val="0"/>
        <shadow val="0"/>
        <u val="none"/>
        <vertAlign val="baseline"/>
        <sz val="11"/>
        <color rgb="FF000000"/>
        <name val="Calibri"/>
        <scheme val="minor"/>
      </font>
      <alignment horizontal="general" vertical="center" textRotation="0" wrapText="1" indent="0" relativeIndent="255" justifyLastLine="0" shrinkToFit="0" mergeCell="0" readingOrder="0"/>
    </dxf>
    <dxf>
      <font>
        <b val="0"/>
        <i val="0"/>
        <strike val="0"/>
        <condense val="0"/>
        <extend val="0"/>
        <outline val="0"/>
        <shadow val="0"/>
        <u val="none"/>
        <vertAlign val="baseline"/>
        <sz val="11"/>
        <color rgb="FF000000"/>
        <name val="Calibri"/>
        <scheme val="minor"/>
      </font>
      <alignment horizontal="general" vertical="center" textRotation="0" wrapText="1" indent="0" relativeIndent="255" justifyLastLine="0" shrinkToFit="0" mergeCell="0" readingOrder="0"/>
    </dxf>
    <dxf>
      <font>
        <b val="0"/>
        <i val="0"/>
        <strike val="0"/>
        <condense val="0"/>
        <extend val="0"/>
        <outline val="0"/>
        <shadow val="0"/>
        <u val="none"/>
        <vertAlign val="baseline"/>
        <sz val="11"/>
        <color auto="1"/>
        <name val="Calibri"/>
        <scheme val="minor"/>
      </font>
      <alignment horizontal="general" vertical="center" textRotation="0" wrapText="1" indent="0" relativeIndent="255" justifyLastLine="0" shrinkToFit="0" mergeCell="0" readingOrder="0"/>
    </dxf>
    <dxf>
      <font>
        <b val="0"/>
        <i val="0"/>
        <strike val="0"/>
        <condense val="0"/>
        <extend val="0"/>
        <outline val="0"/>
        <shadow val="0"/>
        <u val="none"/>
        <vertAlign val="baseline"/>
        <sz val="11"/>
        <color rgb="FF000000"/>
        <name val="Calibri"/>
        <scheme val="minor"/>
      </font>
      <alignment horizontal="center" vertical="center" textRotation="0" wrapText="1" indent="0" relativeIndent="255" justifyLastLine="0" shrinkToFit="0" readingOrder="0"/>
    </dxf>
    <dxf>
      <font>
        <b val="0"/>
        <i val="0"/>
        <strike val="0"/>
        <condense val="0"/>
        <extend val="0"/>
        <outline val="0"/>
        <shadow val="0"/>
        <u val="none"/>
        <vertAlign val="baseline"/>
        <sz val="11"/>
        <color rgb="FF000000"/>
        <name val="Calibri"/>
        <scheme val="minor"/>
      </font>
      <alignment horizontal="center" vertical="center" textRotation="0" wrapText="1" indent="0" relativeIndent="255" justifyLastLine="0" shrinkToFit="0" readingOrder="0"/>
    </dxf>
    <dxf>
      <font>
        <b val="0"/>
        <i val="0"/>
        <strike val="0"/>
        <condense val="0"/>
        <extend val="0"/>
        <outline val="0"/>
        <shadow val="0"/>
        <u val="none"/>
        <vertAlign val="baseline"/>
        <sz val="11"/>
        <color rgb="FF000000"/>
        <name val="Calibri"/>
        <scheme val="minor"/>
      </font>
      <alignment horizontal="center" vertical="center" textRotation="0" wrapText="1" indent="0" relativeIndent="255" justifyLastLine="0" shrinkToFit="0" readingOrder="0"/>
    </dxf>
    <dxf>
      <font>
        <b val="0"/>
        <i val="0"/>
        <strike val="0"/>
        <condense val="0"/>
        <extend val="0"/>
        <outline val="0"/>
        <shadow val="0"/>
        <u val="none"/>
        <vertAlign val="baseline"/>
        <sz val="11"/>
        <color rgb="FF000000"/>
        <name val="Calibri"/>
        <scheme val="minor"/>
      </font>
      <alignment horizontal="center" vertical="top" textRotation="0" wrapText="1" indent="0" relativeIndent="255" justifyLastLine="0" shrinkToFit="0" readingOrder="0"/>
    </dxf>
    <dxf>
      <font>
        <sz val="11"/>
        <color rgb="FF000000"/>
        <name val="Calibri"/>
        <scheme val="minor"/>
      </font>
      <fill>
        <patternFill patternType="none">
          <bgColor auto="1"/>
        </patternFill>
      </fill>
      <alignment horizontal="center" vertical="center" textRotation="0" wrapText="1" indent="0" relativeIndent="255" justifyLastLine="0" shrinkToFit="0" readingOrder="0"/>
    </dxf>
    <dxf>
      <font>
        <b val="0"/>
        <i val="0"/>
        <strike val="0"/>
        <condense val="0"/>
        <extend val="0"/>
        <outline val="0"/>
        <shadow val="0"/>
        <u val="none"/>
        <vertAlign val="baseline"/>
        <sz val="11"/>
        <color rgb="FF000000"/>
        <name val="Calibri"/>
        <scheme val="minor"/>
      </font>
      <alignment horizontal="center" vertical="center" textRotation="0" wrapText="1" indent="0" relativeIndent="255" justifyLastLine="0" shrinkToFit="0" readingOrder="0"/>
    </dxf>
    <dxf>
      <font>
        <color rgb="FF000000"/>
        <name val="Calibri"/>
        <scheme val="minor"/>
      </font>
      <fill>
        <patternFill patternType="none">
          <bgColor auto="1"/>
        </patternFill>
      </fill>
      <alignment vertical="center" textRotation="0" indent="0" relativeIndent="255" justifyLastLine="0" shrinkToFit="0" readingOrder="0"/>
    </dxf>
    <dxf>
      <font>
        <color rgb="FF000000"/>
        <name val="Calibri"/>
        <scheme val="minor"/>
      </font>
      <fill>
        <patternFill patternType="none">
          <bgColor auto="1"/>
        </patternFill>
      </fill>
      <alignment horizontal="center" vertical="center" textRotation="0" wrapText="0" indent="0" relativeIndent="255" justifyLastLine="0" shrinkToFit="0" readingOrder="0"/>
    </dxf>
    <dxf>
      <font>
        <sz val="11"/>
        <color rgb="FF000000"/>
        <name val="Calibri"/>
        <scheme val="minor"/>
      </font>
      <fill>
        <patternFill patternType="none">
          <bgColor auto="1"/>
        </patternFill>
      </fill>
      <alignment horizontal="center" vertical="center" textRotation="0" wrapText="1" indent="0" relativeIndent="255" justifyLastLine="0" shrinkToFit="0" readingOrder="0"/>
    </dxf>
    <dxf>
      <font>
        <color rgb="FF000000"/>
        <name val="Calibri"/>
        <scheme val="minor"/>
      </font>
      <fill>
        <patternFill patternType="none">
          <bgColor auto="1"/>
        </patternFill>
      </fill>
      <alignment horizontal="center" vertical="top" textRotation="0" wrapText="1" indent="0" relativeIndent="255" justifyLastLine="0" shrinkToFit="0" readingOrder="0"/>
    </dxf>
    <dxf>
      <font>
        <b val="0"/>
        <i val="0"/>
        <strike val="0"/>
        <condense val="0"/>
        <extend val="0"/>
        <outline val="0"/>
        <shadow val="0"/>
        <u val="none"/>
        <vertAlign val="baseline"/>
        <sz val="10"/>
        <color rgb="FF000000"/>
        <name val="Calibri"/>
        <scheme val="minor"/>
      </font>
      <alignment horizontal="center" vertical="top" textRotation="0" wrapText="1" indent="0" relativeIndent="255" justifyLastLine="0" shrinkToFit="0" readingOrder="0"/>
    </dxf>
    <dxf>
      <font>
        <b val="0"/>
        <i val="0"/>
        <strike val="0"/>
        <condense val="0"/>
        <extend val="0"/>
        <outline val="0"/>
        <shadow val="0"/>
        <u val="none"/>
        <vertAlign val="baseline"/>
        <sz val="10"/>
        <color rgb="FF000000"/>
        <name val="Calibri"/>
        <scheme val="minor"/>
      </font>
      <alignment horizontal="center" vertical="top" textRotation="0" wrapText="1" indent="0" relativeIndent="255" justifyLastLine="0" shrinkToFit="0" readingOrder="0"/>
    </dxf>
    <dxf>
      <font>
        <color rgb="FF000000"/>
        <name val="Calibri"/>
        <scheme val="minor"/>
      </font>
      <alignment horizontal="center" vertical="top" textRotation="0" wrapText="1" indent="0" relativeIndent="255" justifyLastLine="0" shrinkToFit="0" readingOrder="0"/>
    </dxf>
    <dxf>
      <font>
        <color rgb="FF000000"/>
        <name val="Calibri"/>
        <scheme val="minor"/>
      </font>
      <alignment horizontal="center" vertical="top" textRotation="0" wrapText="1" indent="0" relativeIndent="255" justifyLastLine="0" shrinkToFit="0" readingOrder="0"/>
    </dxf>
    <dxf>
      <font>
        <color rgb="FF000000"/>
        <name val="Calibri"/>
        <scheme val="minor"/>
      </font>
      <fill>
        <patternFill patternType="none">
          <bgColor auto="1"/>
        </patternFill>
      </fill>
      <alignment horizontal="center" vertical="center" textRotation="0" indent="0" relativeIndent="255" justifyLastLine="0" shrinkToFit="0" readingOrder="0"/>
    </dxf>
    <dxf>
      <font>
        <b val="0"/>
        <i val="0"/>
        <strike val="0"/>
        <condense val="0"/>
        <extend val="0"/>
        <outline val="0"/>
        <shadow val="0"/>
        <u val="none"/>
        <vertAlign val="baseline"/>
        <sz val="11"/>
        <color rgb="FF000000"/>
        <name val="Calibri"/>
        <scheme val="minor"/>
      </font>
      <alignment horizontal="center" vertical="center" textRotation="0" wrapText="1" indent="0" relativeIndent="0" justifyLastLine="0" shrinkToFit="0" mergeCell="0" readingOrder="0"/>
    </dxf>
    <dxf>
      <font>
        <b val="0"/>
        <i val="0"/>
        <strike val="0"/>
        <condense val="0"/>
        <extend val="0"/>
        <outline val="0"/>
        <shadow val="0"/>
        <u val="none"/>
        <vertAlign val="baseline"/>
        <sz val="11"/>
        <color rgb="FF000000"/>
        <name val="Calibri"/>
        <scheme val="minor"/>
      </font>
      <alignment horizontal="center" vertical="center" textRotation="0" wrapText="1" indent="0" relativeIndent="255" justifyLastLine="0" shrinkToFit="0" readingOrder="0"/>
    </dxf>
    <dxf>
      <font>
        <sz val="11"/>
        <color rgb="FF000000"/>
        <name val="Calibri"/>
        <scheme val="minor"/>
      </font>
      <fill>
        <patternFill patternType="none">
          <bgColor auto="1"/>
        </patternFill>
      </fill>
      <alignment horizontal="center" vertical="center" textRotation="0" wrapText="1" indent="0" relativeIndent="255" justifyLastLine="0" shrinkToFit="0" readingOrder="0"/>
    </dxf>
    <dxf>
      <font>
        <color rgb="FF000000"/>
        <name val="Calibri"/>
        <scheme val="minor"/>
      </font>
      <fill>
        <patternFill patternType="none">
          <bgColor auto="1"/>
        </patternFill>
      </fill>
      <alignment vertical="center" textRotation="0" indent="0" relativeIndent="255" justifyLastLine="0" shrinkToFit="0" readingOrder="0"/>
    </dxf>
    <dxf>
      <font>
        <b val="0"/>
        <i val="0"/>
        <strike val="0"/>
        <condense val="0"/>
        <extend val="0"/>
        <outline val="0"/>
        <shadow val="0"/>
        <u val="none"/>
        <vertAlign val="baseline"/>
        <sz val="11"/>
        <color rgb="FF000000"/>
        <name val="Calibri"/>
        <scheme val="minor"/>
      </font>
      <numFmt numFmtId="0" formatCode="General"/>
      <fill>
        <patternFill patternType="none">
          <fgColor indexed="64"/>
          <bgColor auto="1"/>
        </patternFill>
      </fill>
      <alignment horizontal="center" vertical="center" textRotation="0" wrapText="1" indent="0" relativeIndent="255" justifyLastLine="0" shrinkToFit="0" readingOrder="0"/>
    </dxf>
    <dxf>
      <font>
        <b val="0"/>
        <i val="0"/>
        <strike val="0"/>
        <condense val="0"/>
        <extend val="0"/>
        <outline val="0"/>
        <shadow val="0"/>
        <u val="none"/>
        <vertAlign val="baseline"/>
        <sz val="11"/>
        <color rgb="FF000000"/>
        <name val="Calibri"/>
        <scheme val="minor"/>
      </font>
      <numFmt numFmtId="0" formatCode="General"/>
      <fill>
        <patternFill patternType="none">
          <fgColor indexed="64"/>
          <bgColor auto="1"/>
        </patternFill>
      </fill>
      <alignment horizontal="center" vertical="center" textRotation="0" wrapText="1" indent="0" relativeIndent="255" justifyLastLine="0" shrinkToFit="0" readingOrder="0"/>
    </dxf>
    <dxf>
      <font>
        <b val="0"/>
        <i val="0"/>
        <strike val="0"/>
        <condense val="0"/>
        <extend val="0"/>
        <outline val="0"/>
        <shadow val="0"/>
        <u val="none"/>
        <vertAlign val="baseline"/>
        <sz val="11"/>
        <color rgb="FF000000"/>
        <name val="Calibri"/>
        <scheme val="minor"/>
      </font>
      <alignment horizontal="center" vertical="center" textRotation="0" wrapText="0" indent="0" relativeIndent="255" justifyLastLine="0" shrinkToFit="0" readingOrder="0"/>
    </dxf>
    <dxf>
      <font>
        <b val="0"/>
        <i val="0"/>
        <strike val="0"/>
        <condense val="0"/>
        <extend val="0"/>
        <outline val="0"/>
        <shadow val="0"/>
        <u val="none"/>
        <vertAlign val="baseline"/>
        <sz val="11"/>
        <color rgb="FF000000"/>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1"/>
        <color rgb="FF000000"/>
        <name val="Calibri"/>
        <scheme val="minor"/>
      </font>
      <numFmt numFmtId="0" formatCode="General"/>
      <fill>
        <patternFill patternType="none">
          <fgColor indexed="64"/>
          <bgColor auto="1"/>
        </patternFill>
      </fill>
      <alignment horizontal="center" vertical="center" textRotation="0" wrapText="0" indent="0" relativeIndent="255" justifyLastLine="0" shrinkToFit="0" readingOrder="0"/>
    </dxf>
    <dxf>
      <font>
        <b val="0"/>
        <i val="0"/>
        <strike val="0"/>
        <condense val="0"/>
        <extend val="0"/>
        <outline val="0"/>
        <shadow val="0"/>
        <u/>
        <vertAlign val="baseline"/>
        <sz val="11"/>
        <color rgb="FF000000"/>
        <name val="Calibri"/>
        <scheme val="minor"/>
      </font>
      <numFmt numFmtId="0" formatCode="General"/>
      <fill>
        <patternFill patternType="none">
          <fgColor indexed="64"/>
          <bgColor auto="1"/>
        </patternFill>
      </fill>
      <alignment horizontal="center" vertical="center" textRotation="0" wrapText="0" indent="0" relativeIndent="255" justifyLastLine="0" shrinkToFit="0" mergeCell="0" readingOrder="0"/>
    </dxf>
    <dxf>
      <font>
        <b val="0"/>
        <i val="0"/>
        <strike val="0"/>
        <condense val="0"/>
        <extend val="0"/>
        <outline val="0"/>
        <shadow val="0"/>
        <u val="none"/>
        <vertAlign val="baseline"/>
        <sz val="11"/>
        <color rgb="FF000000"/>
        <name val="Calibri"/>
        <scheme val="minor"/>
      </font>
      <numFmt numFmtId="0" formatCode="General"/>
      <fill>
        <patternFill patternType="none">
          <fgColor indexed="64"/>
          <bgColor indexed="65"/>
        </patternFill>
      </fill>
      <alignment horizontal="center" vertical="center" textRotation="0" wrapText="0" indent="0" relativeIndent="255" justifyLastLine="0" shrinkToFit="0" readingOrder="0"/>
    </dxf>
    <dxf>
      <border outline="0">
        <right style="thin">
          <color rgb="FF000000"/>
        </right>
        <bottom style="thin">
          <color rgb="FF000000"/>
        </bottom>
      </border>
    </dxf>
    <dxf>
      <font>
        <color rgb="FF000000"/>
        <name val="Calibri"/>
        <scheme val="minor"/>
      </font>
      <alignment vertical="center" textRotation="0" indent="0" relativeIndent="255" justifyLastLine="0" shrinkToFit="0" readingOrder="0"/>
    </dxf>
    <dxf>
      <border>
        <bottom style="thin">
          <color indexed="64"/>
        </bottom>
      </border>
    </dxf>
    <dxf>
      <font>
        <b/>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1" indent="0" relativeIndent="255" justifyLastLine="0" shrinkToFit="0" mergeCell="0" readingOrder="0"/>
      <border diagonalUp="0" diagonalDown="0" outline="0">
        <left style="thin">
          <color indexed="64"/>
        </left>
        <right style="thin">
          <color indexed="64"/>
        </right>
        <top/>
        <bottom/>
      </border>
    </dxf>
  </dxfs>
  <tableStyles count="0" defaultTableStyle="TableStyleMedium2" defaultPivotStyle="PivotStyleMedium9"/>
  <colors>
    <mruColors>
      <color rgb="FF68C6B0"/>
      <color rgb="FF2BABA5"/>
      <color rgb="FF2EBCB9"/>
      <color rgb="FF2CB5B2"/>
      <color rgb="FF009999"/>
      <color rgb="FF33CCCC"/>
      <color rgb="FF008080"/>
      <color rgb="FFFCD779"/>
      <color rgb="FF05BBA5"/>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303896</xdr:colOff>
      <xdr:row>1</xdr:row>
      <xdr:rowOff>207611</xdr:rowOff>
    </xdr:from>
    <xdr:to>
      <xdr:col>4</xdr:col>
      <xdr:colOff>1986885</xdr:colOff>
      <xdr:row>4</xdr:row>
      <xdr:rowOff>786766</xdr:rowOff>
    </xdr:to>
    <xdr:pic>
      <xdr:nvPicPr>
        <xdr:cNvPr id="3" name="Imagem 2">
          <a:extLst>
            <a:ext uri="{FF2B5EF4-FFF2-40B4-BE49-F238E27FC236}">
              <a16:creationId xmlns="" xmlns:a16="http://schemas.microsoft.com/office/drawing/2014/main" id="{5F2F5542-ACD2-92AC-B9C8-A5AD36F26EBB}"/>
            </a:ext>
            <a:ext uri="{147F2762-F138-4A5C-976F-8EAC2B608ADB}">
              <a16:predDERef xmlns="" xmlns:a16="http://schemas.microsoft.com/office/drawing/2014/main" pred="{16825D19-F31F-692D-444A-A433C5C33FFA}"/>
            </a:ext>
          </a:extLst>
        </xdr:cNvPr>
        <xdr:cNvPicPr>
          <a:picLocks noChangeAspect="1"/>
        </xdr:cNvPicPr>
      </xdr:nvPicPr>
      <xdr:blipFill>
        <a:blip xmlns:r="http://schemas.openxmlformats.org/officeDocument/2006/relationships" r:embed="rId1" cstate="print"/>
        <a:stretch>
          <a:fillRect/>
        </a:stretch>
      </xdr:blipFill>
      <xdr:spPr>
        <a:xfrm>
          <a:off x="10171796" y="598136"/>
          <a:ext cx="9250072" cy="62274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Larissa Nascimento dos Santos" id="{8D8A2A49-FFB8-4E86-95AC-0A0F8FEE5D7C}" userId="S::larissa.santos.terceirizada@icmbio.gov.br::12a4055e-129d-4f80-a52a-a82d6fd4d71c" providerId="AD"/>
</personList>
</file>

<file path=xl/tables/table1.xml><?xml version="1.0" encoding="utf-8"?>
<table xmlns="http://schemas.openxmlformats.org/spreadsheetml/2006/main" id="5" name="Tabela5" displayName="Tabela5" ref="A2:AI43" totalsRowShown="0" headerRowDxfId="108" dataDxfId="106" headerRowBorderDxfId="107" tableBorderDxfId="105" headerRowCellStyle="Normal 2">
  <autoFilter ref="A2:AI43">
    <filterColumn colId="10"/>
    <filterColumn colId="30"/>
  </autoFilter>
  <sortState ref="A3:AH43">
    <sortCondition ref="I2:I43"/>
  </sortState>
  <tableColumns count="35">
    <tableColumn id="1" name="CNUC" dataDxfId="104" dataCellStyle="Normal 2"/>
    <tableColumn id="2" name="UC" dataDxfId="103" dataCellStyle="Normal 2"/>
    <tableColumn id="3" name="Categoria" dataDxfId="102" dataCellStyle="Normal 2"/>
    <tableColumn id="4" name="Grupo" dataDxfId="101" dataCellStyle="Normal 2"/>
    <tableColumn id="21" name="UF" dataDxfId="100" dataCellStyle="Normal 2"/>
    <tableColumn id="5" name="Municípios sobrepostos pela UC" dataDxfId="99" dataCellStyle="Normal 2"/>
    <tableColumn id="6" name="Bioma do Brasil" dataDxfId="98" dataCellStyle="Normal 2"/>
    <tableColumn id="7" name="Ecossistema" dataDxfId="97"/>
    <tableColumn id="18" name="NGI" dataDxfId="96" dataCellStyle="Normal 2"/>
    <tableColumn id="29" name="Número de analistas/técnicos_x000a_(DIPLAN, 2024)" dataDxfId="95" dataCellStyle="Normal 2"/>
    <tableColumn id="24" name="Possui PM" dataDxfId="94"/>
    <tableColumn id="14" name="Plano de Manejo" dataDxfId="93"/>
    <tableColumn id="26" name="Recursos e Valores (RV) - tipo Biodiversidade_x000a_(SAMGe 02/08/2024)" dataDxfId="92" dataCellStyle="Normal 2"/>
    <tableColumn id="25" name="Espécies fauna citada como RV_x000a_(SAMGe 02/08/2024)" dataDxfId="91" dataCellStyle="Normal 2"/>
    <tableColumn id="32" name="Principais fatores de ameaça à fauna_x000a_(SAMGe 02/08/2024)" dataDxfId="90" dataCellStyle="Normal 2"/>
    <tableColumn id="31" name="Ação de manejo para conservação da biodiversidade_x000a_(SAMGe 02/08/2024)" dataDxfId="89" dataCellStyle="Normal 2"/>
    <tableColumn id="13" name="Participa do MONITORA" dataDxfId="88" dataCellStyle="Normal 2"/>
    <tableColumn id="15" name="Pesquisas SISBIO _x000a_(atualização 29/08/2024)" dataDxfId="87" dataCellStyle="Normal 2"/>
    <tableColumn id="19" name="1. Usos afetam a biodiversidade ou comunidade _x000a_(DMAG)" dataDxfId="86"/>
    <tableColumn id="9" name="9. Em áreas de abrangência de PRIM_x000a_(COESP)" dataDxfId="85"/>
    <tableColumn id="27" name="Em área de abrangência ou estratégica de PAN_x000a_(COPAN, 2024)" dataDxfId="84" dataCellStyle="Normal 2"/>
    <tableColumn id="8" name="Espécies ameaçadas de extinção _x000a_(SALVE interno, 2024)" dataDxfId="83" dataCellStyle="Normal 2"/>
    <tableColumn id="28" name="Lista Espécies ameaçadas de extinção _x000a_(SALVE interno, 2024)" dataDxfId="82" dataCellStyle="Normal 2"/>
    <tableColumn id="11" name="Lista de espécies ameaçadas registrada pela UC_x000a_(SAMGe e Gov, 2024)" dataDxfId="81" dataCellStyle="Normal 2"/>
    <tableColumn id="12" name="Nível de conhecimento sobre ações de PANs no território" dataDxfId="80" dataCellStyle="Normal 2"/>
    <tableColumn id="34" name="Nível de envolvimento da UC com PANs" dataDxfId="79" dataCellStyle="Normal 2"/>
    <tableColumn id="33" name="Participação efetiva em PANs - ação significante (finalizado ou em execução)" dataDxfId="78" dataCellStyle="Normal 2"/>
    <tableColumn id="30" name="Possui interesse em participar de PAN - Interface motivadora" dataDxfId="77" dataCellStyle="Normal 2"/>
    <tableColumn id="10" name="Prioridades de gestão para conservação da biodiversidade com interface com PAN" dataDxfId="76" dataCellStyle="Normal 2"/>
    <tableColumn id="22" name="Prioridades contempladas em instrumentos de conservação" dataDxfId="75" dataCellStyle="Normal 2"/>
    <tableColumn id="35" name="Meio de registro das espécies ocorrentes e de projetos associados" dataDxfId="74"/>
    <tableColumn id="23" name="Fatores que dificultam o planejamento/execução de ações de conservação" dataDxfId="73" dataCellStyle="Normal 2"/>
    <tableColumn id="17" name="Ponto focal _x000a_(em 2024)" dataDxfId="72"/>
    <tableColumn id="16" name="Contato" dataDxfId="71"/>
    <tableColumn id="20" name="Observações" dataDxfId="70"/>
  </tableColumns>
  <tableStyleInfo name="TableStyleMedium4" showFirstColumn="0" showLastColumn="0" showRowStripes="1" showColumnStripes="0"/>
</table>
</file>

<file path=xl/tables/table2.xml><?xml version="1.0" encoding="utf-8"?>
<table xmlns="http://schemas.openxmlformats.org/spreadsheetml/2006/main" id="3" name="Tabela134" displayName="Tabela134" ref="A3:Y446" totalsRowShown="0" headerRowDxfId="69" dataDxfId="68">
  <autoFilter ref="A3:Y446">
    <filterColumn colId="8"/>
    <filterColumn colId="10"/>
  </autoFilter>
  <sortState ref="A4:X446">
    <sortCondition ref="B3:B446"/>
  </sortState>
  <tableColumns count="25">
    <tableColumn id="16" name="Fonte do dado" dataDxfId="67"/>
    <tableColumn id="2" name="Espécie" dataDxfId="66"/>
    <tableColumn id="3" name="Nome comum" dataDxfId="65">
      <calculatedColumnFormula>VLOOKUP(Tabela134[[#This Row],[Espécie]],Tabela2[[#All],[Espécie]:[Categoria de risco]],2,FALSE)</calculatedColumnFormula>
    </tableColumn>
    <tableColumn id="13" name="Grupo" dataDxfId="64">
      <calculatedColumnFormula>VLOOKUP(Tabela134[[#This Row],[Espécie]],Tabela2[[#All],[Espécie]:[Categoria de risco]],3,FALSE)</calculatedColumnFormula>
    </tableColumn>
    <tableColumn id="14" name="Categoria de risco" dataDxfId="63"/>
    <tableColumn id="15" name="Observação/Para verificar no SALVE" dataDxfId="62"/>
    <tableColumn id="1" name="UC" dataDxfId="61"/>
    <tableColumn id="12" name="UF" dataDxfId="60">
      <calculatedColumnFormula>VLOOKUP(Tabela134[[#This Row],[UC]],#REF!,2,FALSE)</calculatedColumnFormula>
    </tableColumn>
    <tableColumn id="4" name="Contemplada em PAN" dataDxfId="59"/>
    <tableColumn id="35" name="Nome do PAN" dataDxfId="58">
      <calculatedColumnFormula>IFERROR(VLOOKUP(Tabela134[[#This Row],[Espécie]],Tabela8[[#All],[Espécie]:[Nome fantasia]],4, FALSE), 0)</calculatedColumnFormula>
    </tableColumn>
    <tableColumn id="6" name="RV" dataDxfId="57"/>
    <tableColumn id="8" name="Uso associado" dataDxfId="56"/>
    <tableColumn id="29" name="Projeto (título)" dataDxfId="55"/>
    <tableColumn id="30" name="Ação do Plano de Manejo vinculada" dataDxfId="54"/>
    <tableColumn id="27" name="Localidade" dataDxfId="53"/>
    <tableColumn id="9" name="Coordenadas (lat)" dataDxfId="52"/>
    <tableColumn id="28" name="Coordenadas (long)" dataDxfId="51"/>
    <tableColumn id="25" name="Data início" dataDxfId="50"/>
    <tableColumn id="26" name="Data fim" dataDxfId="49"/>
    <tableColumn id="34" name="Executor" dataDxfId="48"/>
    <tableColumn id="31" name="Instituição" dataDxfId="47"/>
    <tableColumn id="5" name="Parcerias" dataDxfId="46"/>
    <tableColumn id="33" name="Status" dataDxfId="45"/>
    <tableColumn id="36" name="Processo SEI" dataDxfId="44"/>
    <tableColumn id="7" name="Licença SISBIO" dataDxfId="43"/>
  </tableColumns>
  <tableStyleInfo name="TableStyleMedium20" showFirstColumn="0" showLastColumn="0" showRowStripes="1" showColumnStripes="0"/>
</table>
</file>

<file path=xl/tables/table3.xml><?xml version="1.0" encoding="utf-8"?>
<table xmlns="http://schemas.openxmlformats.org/spreadsheetml/2006/main" id="1" name="Tabela4" displayName="Tabela4" ref="A2:L44" totalsRowShown="0" headerRowDxfId="42" dataDxfId="40" headerRowBorderDxfId="41" tableBorderDxfId="39" totalsRowBorderDxfId="38" headerRowCellStyle="Normal 2">
  <autoFilter ref="A2:L44">
    <filterColumn colId="1"/>
    <filterColumn colId="3"/>
    <filterColumn colId="4"/>
  </autoFilter>
  <sortState ref="A3:L44">
    <sortCondition ref="A2:A44"/>
  </sortState>
  <tableColumns count="12">
    <tableColumn id="2" name="id do PAN" dataDxfId="37"/>
    <tableColumn id="11" name="CNPC" dataDxfId="36" dataCellStyle="Normal 2"/>
    <tableColumn id="3" name="Nome fantasia" dataDxfId="35"/>
    <tableColumn id="1" name="Nome do PAN" dataDxfId="34" dataCellStyle="Normal 2"/>
    <tableColumn id="4" name="Status" dataDxfId="33"/>
    <tableColumn id="5" name="Vigência início (oficialização)" dataDxfId="32"/>
    <tableColumn id="6" name="Vigência final (previsto)" dataDxfId="31"/>
    <tableColumn id="7" name="Ato legal" dataDxfId="30"/>
    <tableColumn id="8" name="Processo SEI" dataDxfId="29"/>
    <tableColumn id="9" name="Possui polígono disponível (ICMBio, INDE)" dataDxfId="28"/>
    <tableColumn id="10" name="UCs em área de abrangência/_x000a_*área estratégica" dataDxfId="27"/>
    <tableColumn id="13" name="Página oficial" dataDxfId="26"/>
  </tableColumns>
  <tableStyleInfo name="TableStyleMedium4" showFirstColumn="0" showLastColumn="0" showRowStripes="1" showColumnStripes="0"/>
</table>
</file>

<file path=xl/tables/table4.xml><?xml version="1.0" encoding="utf-8"?>
<table xmlns="http://schemas.openxmlformats.org/spreadsheetml/2006/main" id="7" name="Tabela8" displayName="Tabela8" ref="A2:D1019" totalsRowShown="0" headerRowDxfId="25" dataDxfId="24" headerRowCellStyle="Normal 2">
  <autoFilter ref="A2:D1019">
    <filterColumn colId="1"/>
    <filterColumn colId="3"/>
  </autoFilter>
  <sortState ref="A3:F1021">
    <sortCondition ref="D2:D1021"/>
  </sortState>
  <tableColumns count="4">
    <tableColumn id="2" name="Espécie" dataDxfId="23"/>
    <tableColumn id="1" name="Subespécie/Observação" dataDxfId="22"/>
    <tableColumn id="3" name="id do PAN" dataDxfId="21"/>
    <tableColumn id="4" name="Nome fantasia" dataDxfId="20"/>
  </tableColumns>
  <tableStyleInfo name="TableStyleLight4" showFirstColumn="0" showLastColumn="0" showRowStripes="1" showColumnStripes="0"/>
</table>
</file>

<file path=xl/tables/table5.xml><?xml version="1.0" encoding="utf-8"?>
<table xmlns="http://schemas.openxmlformats.org/spreadsheetml/2006/main" id="2" name="Tabela2" displayName="Tabela2" ref="A2:D264" totalsRowShown="0" headerRowDxfId="19" dataDxfId="18">
  <autoFilter ref="A2:D264"/>
  <sortState ref="A3:D264">
    <sortCondition ref="A2:A264"/>
  </sortState>
  <tableColumns count="4">
    <tableColumn id="1" name="Espécie" dataDxfId="17"/>
    <tableColumn id="2" name="Nome comum" dataDxfId="16"/>
    <tableColumn id="3" name="Grupo" dataDxfId="15"/>
    <tableColumn id="4" name="Categoria de risco" dataDxfId="14"/>
  </tableColumns>
  <tableStyleInfo name="TableStyleLight4" showFirstColumn="0" showLastColumn="0" showRowStripes="1" showColumnStripes="0"/>
</table>
</file>

<file path=xl/tables/table6.xml><?xml version="1.0" encoding="utf-8"?>
<table xmlns="http://schemas.openxmlformats.org/spreadsheetml/2006/main" id="4" name="Tabela6" displayName="Tabela6" ref="F2:G43" totalsRowShown="0" headerRowDxfId="13" dataDxfId="12">
  <autoFilter ref="F2:G43">
    <filterColumn colId="0"/>
    <filterColumn colId="1"/>
  </autoFilter>
  <tableColumns count="2">
    <tableColumn id="4" name="UC" dataDxfId="11"/>
    <tableColumn id="5" name="UF" dataDxfId="10"/>
  </tableColumns>
  <tableStyleInfo name="TableStyleLight4" showFirstColumn="0" showLastColumn="0" showRowStripes="1" showColumnStripes="0"/>
</table>
</file>

<file path=xl/tables/table7.xml><?xml version="1.0" encoding="utf-8"?>
<table xmlns="http://schemas.openxmlformats.org/spreadsheetml/2006/main" id="6" name="Tabela7" displayName="Tabela7" ref="A2:F160" totalsRowShown="0" headerRowDxfId="9" dataDxfId="7" headerRowBorderDxfId="8" tableBorderDxfId="6">
  <autoFilter ref="A2:F160">
    <filterColumn colId="4"/>
  </autoFilter>
  <sortState ref="A3:F160">
    <sortCondition ref="C2:C160"/>
  </sortState>
  <tableColumns count="6">
    <tableColumn id="1" name="Espécie" dataDxfId="5"/>
    <tableColumn id="2" name="Nome comum" dataDxfId="4"/>
    <tableColumn id="3" name="Grupo" dataDxfId="3"/>
    <tableColumn id="4" name="Categoria" dataDxfId="2"/>
    <tableColumn id="5" name="Recurso e Valor da UC" dataDxfId="1"/>
    <tableColumn id="6" name="Contemplada em PAN" dataDxfId="0"/>
  </tableColumns>
  <tableStyleInfo name="TableStyleLight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5-01-03T18:47:28.02" personId="{8D8A2A49-FFB8-4E86-95AC-0A0F8FEE5D7C}" id="{AECA09C7-3C68-4664-BE68-0D0160941034}">
    <text>Checar espécies ameaçadas ocorrentes: SALVE, UC (plano de manejo, gov.br, projetos no SEI)</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www.gov.br/icmbio/pt-br/assuntos/biodiversidade/unidade-de-conservacao/unidades-de-biomas/mata-atlantica/lista-de-ucs/rebio-das-perobas/arquivos/plano_de_manejo_da_reserva_biologica_das_perobas__revisado_agosto_2023.pdf" TargetMode="External"/><Relationship Id="rId18" Type="http://schemas.openxmlformats.org/officeDocument/2006/relationships/hyperlink" Target="https://www.gov.br/icmbio/pt-br/assuntos/biodiversidade/unidade-de-conservacao/unidades-de-biomas/mata-atlantica/lista-de-ucs/flona-de-pirai-do-sul/arquivos/dcom_plano_de_manejo_flona_pirai_do_sulplanodemanejo.pdf" TargetMode="External"/><Relationship Id="rId26" Type="http://schemas.openxmlformats.org/officeDocument/2006/relationships/hyperlink" Target="https://www.gov.br/icmbio/pt-br/assuntos/biodiversidade/unidade-de-conservacao/unidades-de-biomas/mata-atlantica/lista-de-ucs/revis-dos-campos-de-palmas/arquivos/dcom_plano_de_manejo_revis_campos_de_palmas_1.pdf" TargetMode="External"/><Relationship Id="rId39" Type="http://schemas.openxmlformats.org/officeDocument/2006/relationships/hyperlink" Target="https://www.gov.br/icmbio/pt-br/assuntos/biodiversidade/unidade-de-conservacao/unidades-de-biomas/mata-atlantica/lista-de-ucs/parna-dos-campos-gerais/arquivos/estado_da_arte_das_pesquisas_parna_campos_gerais_rebio_araucariaslacunapesquisa.pdf" TargetMode="External"/><Relationship Id="rId21" Type="http://schemas.openxmlformats.org/officeDocument/2006/relationships/hyperlink" Target="https://www.gov.br/icmbio/pt-br/assuntos/biodiversidade/unidade-de-conservacao/unidades-de-biomas/marinho/lista-de-ucs/resex-marinha-do-pirajubae/Plano_de_Manejo_Resex_Pirajubae.pdf" TargetMode="External"/><Relationship Id="rId34" Type="http://schemas.openxmlformats.org/officeDocument/2006/relationships/hyperlink" Target="https://www.gov.br/icmbio/pt-br/assuntos/biodiversidade/unidade-de-conservacao/unidades-de-biomas/marinho/lista-de-ucs/apa-anhatomirim/ENCARTE_3_revisado_2021.pdf" TargetMode="External"/><Relationship Id="rId42" Type="http://schemas.openxmlformats.org/officeDocument/2006/relationships/hyperlink" Target="https://www.gov.br/icmbio/pt-br/assuntos/biodiversidade/unidade-de-conservacao/unidades-de-biomas/marinho/lista-de-ucs/apa-da-baleia-franca/apa-da-baleia-franca" TargetMode="External"/><Relationship Id="rId47" Type="http://schemas.openxmlformats.org/officeDocument/2006/relationships/hyperlink" Target="https://www.gov.br/icmbio/pt-br/assuntos/biodiversidade/unidade-de-conservacao/unidades-de-biomas/mata-atlantica/lista-de-ucs/flona-de-canela/flona-de-canela" TargetMode="External"/><Relationship Id="rId50" Type="http://schemas.openxmlformats.org/officeDocument/2006/relationships/hyperlink" Target="https://www.gov.br/icmbio/pt-br/assuntos/biodiversidade/unidade-de-conservacao/unidades-de-biomas/mata-atlantica/lista-de-ucs/flona-de-sao-francisco-de-paula/flona-de-sao-francisco-de-paula" TargetMode="External"/><Relationship Id="rId55" Type="http://schemas.openxmlformats.org/officeDocument/2006/relationships/hyperlink" Target="https://www.gov.br/icmbio/pt-br/assuntos/biodiversidade/unidade-de-conservacao/unidades-de-biomas/marinho/lista-de-ucs/revis-da-ilha-dos-lobos/refugio-de-vida-silvestre-da-ilha-dos-lobos" TargetMode="External"/><Relationship Id="rId63" Type="http://schemas.openxmlformats.org/officeDocument/2006/relationships/hyperlink" Target="https://www.gov.br/icmbio/pt-br/assuntos/biodiversidade/unidade-de-conservacao/unidades-de-biomas/mata-atlantica/lista-de-ucs/flona-de-pirai-do-sul/flona-de-pirai-do-sul" TargetMode="External"/><Relationship Id="rId68" Type="http://schemas.openxmlformats.org/officeDocument/2006/relationships/hyperlink" Target="https://www.gov.br/icmbio/pt-br/assuntos/biodiversidade/unidade-de-conservacao/unidades-de-biomas/marinho/lista-de-ucs/apa-anhatomirim/apa-anhatomirim" TargetMode="External"/><Relationship Id="rId76" Type="http://schemas.openxmlformats.org/officeDocument/2006/relationships/hyperlink" Target="https://www.gov.br/icmbio/pt-br/assuntos/biodiversidade/unidade-de-conservacao/unidades-de-biomas/mata-atlantica/lista-de-ucs/esec-da-mata-preta/esec-da-mata-preta" TargetMode="External"/><Relationship Id="rId84" Type="http://schemas.openxmlformats.org/officeDocument/2006/relationships/table" Target="../tables/table1.xml"/><Relationship Id="rId7" Type="http://schemas.openxmlformats.org/officeDocument/2006/relationships/hyperlink" Target="https://www.gov.br/icmbio/pt-br/assuntos/biodiversidade/unidade-de-conservacao/unidades-de-biomas/mata-atlantica/lista-de-ucs/flona-de-sao-francisco-de-paula/arquivos/plano_manejo_flona_sao_francisco_de_paula_2020plano1.pdf" TargetMode="External"/><Relationship Id="rId71" Type="http://schemas.openxmlformats.org/officeDocument/2006/relationships/hyperlink" Target="https://www.gov.br/icmbio/pt-br/assuntos/biodiversidade/unidade-de-conservacao/unidades-de-biomas/marinho/lista-de-ucs/resex-marinha-do-pirajubae/resex-marinha-do-pirajubae" TargetMode="External"/><Relationship Id="rId2" Type="http://schemas.openxmlformats.org/officeDocument/2006/relationships/hyperlink" Target="https://www.gov.br/icmbio/pt-br/assuntos/biodiversidade/unidade-de-conservacao/unidades-de-biomas/pampa/lista-de-ucs/apa-do-ibirapuita/arquivos/pm_apa_ibirapuita.pdf" TargetMode="External"/><Relationship Id="rId16" Type="http://schemas.openxmlformats.org/officeDocument/2006/relationships/hyperlink" Target="https://www.gov.br/icmbio/pt-br/assuntos/biodiversidade/unidade-de-conservacao/unidades-de-biomas/mata-atlantica/lista-de-ucs/parna-da-serra-geral/arquivos/dcom_pm_parna_de_aparados_resumo_executivo.pdf" TargetMode="External"/><Relationship Id="rId29" Type="http://schemas.openxmlformats.org/officeDocument/2006/relationships/hyperlink" Target="https://www.gov.br/icmbio/pt-br/assuntos/biodiversidade/unidade-de-conservacao/unidades-de-biomas/mata-atlantica/lista-de-ucs/parna-de-ilha-grande/arquivos/copy_of_parna_ilha_grande_pm.pdf" TargetMode="External"/><Relationship Id="rId11" Type="http://schemas.openxmlformats.org/officeDocument/2006/relationships/hyperlink" Target="https://www.gov.br/icmbio/pt-br/assuntos/biodiversidade/unidade-de-conservacao/unidades-de-biomas/mata-atlantica/lista-de-ucs/parna-de-sao-joaquim/arquivos/plano_de_manejo_parque_nacional_de_sao_joaquim_2018.pdf" TargetMode="External"/><Relationship Id="rId24" Type="http://schemas.openxmlformats.org/officeDocument/2006/relationships/hyperlink" Target="https://www.gov.br/icmbio/pt-br/assuntos/biodiversidade/unidade-de-conservacao/unidades-de-biomas/mata-atlantica/lista-de-ucs/esec-da-mata-preta/arquivos/pca_esec_mata_preta.pdf" TargetMode="External"/><Relationship Id="rId32" Type="http://schemas.openxmlformats.org/officeDocument/2006/relationships/hyperlink" Target="https://www.gov.br/icmbio/pt-br/assuntos/biodiversidade/unidade-de-conservacao/unidades-de-biomas/marinho/lista-de-ucs/revis-da-ilha-dos-lobos/linhas-de-atuacao/planejamento/pm__ilha_dos_lobos_.pdf" TargetMode="External"/><Relationship Id="rId37" Type="http://schemas.openxmlformats.org/officeDocument/2006/relationships/hyperlink" Target="http://samge.icmbio.gov.br/" TargetMode="External"/><Relationship Id="rId40" Type="http://schemas.openxmlformats.org/officeDocument/2006/relationships/hyperlink" Target="https://www.gov.br/icmbio/pt-br/assuntos/biodiversidade/unidade-de-conservacao/unidades-de-biomas/mata-atlantica/lista-de-ucs/parna-dos-campos-gerais/arquivos/estado_da_arte_das_pesquisas_parna_campos_gerais_rebio_araucariaslacunapesquisa.pdf" TargetMode="External"/><Relationship Id="rId45" Type="http://schemas.openxmlformats.org/officeDocument/2006/relationships/hyperlink" Target="https://www.gov.br/icmbio/pt-br/assuntos/biodiversidade/unidade-de-conservacao/unidades-de-biomas/mata-atlantica/lista-de-ucs/flona-de-cacador/flona-de-cacador" TargetMode="External"/><Relationship Id="rId53" Type="http://schemas.openxmlformats.org/officeDocument/2006/relationships/hyperlink" Target="https://www.gov.br/icmbio/pt-br/assuntos/biodiversidade/unidade-de-conservacao/unidades-de-biomas/mata-atlantica/lista-de-ucs/parna-do-iguacu/parna-do-iguacu" TargetMode="External"/><Relationship Id="rId58" Type="http://schemas.openxmlformats.org/officeDocument/2006/relationships/hyperlink" Target="https://www.gov.br/icmbio/pt-br/assuntos/biodiversidade/unidade-de-conservacao/unidades-de-biomas/marinho/lista-de-ucs/parna-do-superagui" TargetMode="External"/><Relationship Id="rId66" Type="http://schemas.openxmlformats.org/officeDocument/2006/relationships/hyperlink" Target="https://www.gov.br/icmbio/pt-br/assuntos/biodiversidade/unidade-de-conservacao/unidades-de-biomas/mata-atlantica/lista-de-ucs/flona-de-assungui/flona-de-assungui" TargetMode="External"/><Relationship Id="rId74" Type="http://schemas.openxmlformats.org/officeDocument/2006/relationships/hyperlink" Target="https://www.gov.br/icmbio/pt-br/assuntos/biodiversidade/unidade-de-conservacao/unidades-de-biomas/mata-atlantica/lista-de-ucs/parna-de-saint-hilaire-lange/parna-de-saint-hilaire-lange" TargetMode="External"/><Relationship Id="rId79" Type="http://schemas.openxmlformats.org/officeDocument/2006/relationships/hyperlink" Target="https://www.gov.br/icmbio/pt-br/assuntos/biodiversidade/unidade-de-conservacao/unidades-de-biomas/mata-atlantica/lista-de-ucs/parna-de-ilha-grande" TargetMode="External"/><Relationship Id="rId5" Type="http://schemas.openxmlformats.org/officeDocument/2006/relationships/hyperlink" Target="https://www.gov.br/icmbio/pt-br/assuntos/biodiversidade/unidade-de-conservacao/unidades-de-biomas/mata-atlantica/lista-de-ucs/flona-de-canela/arquivos/volume_i_diagnostico_fn_canelaplano1.pdf" TargetMode="External"/><Relationship Id="rId61" Type="http://schemas.openxmlformats.org/officeDocument/2006/relationships/hyperlink" Target="https://www.gov.br/icmbio/pt-br/assuntos/biodiversidade/unidade-de-conservacao/unidades-de-biomas/mata-atlantica/lista-de-ucs/parna-de-aparados-da-serra/parna-de-aparados-da-serra" TargetMode="External"/><Relationship Id="rId82" Type="http://schemas.openxmlformats.org/officeDocument/2006/relationships/hyperlink" Target="https://www.gov.br/icmbio/pt-br/assuntos/biodiversidade/unidade-de-conservacao/unidades-de-biomas/marinho/lista-de-ucs/apa-de-guaraquecaba/arquivos/pm_apa_guaraquecaba.pdf" TargetMode="External"/><Relationship Id="rId10" Type="http://schemas.openxmlformats.org/officeDocument/2006/relationships/hyperlink" Target="https://www.gov.br/icmbio/pt-br/assuntos/biodiversidade/unidade-de-conservacao/unidades-de-biomas/mata-atlantica/lista-de-ucs/parna-da-serra-do-itajai/arquivos/pn_serra_do_itajai.pdf" TargetMode="External"/><Relationship Id="rId19" Type="http://schemas.openxmlformats.org/officeDocument/2006/relationships/hyperlink" Target="https://www.gov.br/icmbio/pt-br/assuntos/biodiversidade/unidade-de-conservacao/unidades-de-biomas/mata-atlantica/lista-de-ucs/flona-de-assungui/arquivos/plano_de_manejo_floresta_nacional_de_assungui_volume1plano1.pdf" TargetMode="External"/><Relationship Id="rId31" Type="http://schemas.openxmlformats.org/officeDocument/2006/relationships/hyperlink" Target="https://www.gov.br/icmbio/pt-br/assuntos/monitoramento/conteudo/dados" TargetMode="External"/><Relationship Id="rId44" Type="http://schemas.openxmlformats.org/officeDocument/2006/relationships/hyperlink" Target="https://www.gov.br/icmbio/pt-br/assuntos/biodiversidade/unidade-de-conservacao/unidades-de-biomas/marinho/lista-de-ucs/esec-do-taim/esec-do-taim" TargetMode="External"/><Relationship Id="rId52" Type="http://schemas.openxmlformats.org/officeDocument/2006/relationships/hyperlink" Target="https://www.gov.br/icmbio/pt-br/assuntos/biodiversidade/unidade-de-conservacao/unidades-de-biomas/mata-atlantica/lista-de-ucs/parna-de-sao-joaquim/parna-de-sao-joaquim" TargetMode="External"/><Relationship Id="rId60" Type="http://schemas.openxmlformats.org/officeDocument/2006/relationships/hyperlink" Target="https://www.gov.br/icmbio/pt-br/assuntos/biodiversidade/unidade-de-conservacao/unidades-de-biomas/mata-atlantica/lista-de-ucs/parna-da-serra-geral" TargetMode="External"/><Relationship Id="rId65" Type="http://schemas.openxmlformats.org/officeDocument/2006/relationships/hyperlink" Target="https://www.gov.br/icmbio/pt-br/assuntos/biodiversidade/unidade-de-conservacao/unidades-de-biomas/mata-atlantica/lista-de-ucs/rebio-das-araucarias/rebio-das-araucarias" TargetMode="External"/><Relationship Id="rId73" Type="http://schemas.openxmlformats.org/officeDocument/2006/relationships/hyperlink" Target="https://www.gov.br/icmbio/pt-br/assuntos/biodiversidade/unidade-de-conservacao/unidades-de-biomas/mata-atlantica/lista-de-ucs/flona-de-ibirama/flona-de-ibirama" TargetMode="External"/><Relationship Id="rId78" Type="http://schemas.openxmlformats.org/officeDocument/2006/relationships/hyperlink" Target="https://www.gov.br/icmbio/pt-br/assuntos/biodiversidade/unidade-de-conservacao/unidades-de-biomas/mata-atlantica/lista-de-ucs/revis-dos-campos-de-palmas/revis-dos-campos-de-palmas" TargetMode="External"/><Relationship Id="rId81" Type="http://schemas.openxmlformats.org/officeDocument/2006/relationships/hyperlink" Target="https://www.gov.br/icmbio/pt-br/assuntos/biodiversidade/unidade-de-conservacao/unidades-de-biomas/mata-atlantica/lista-de-ucs/flona-de-passo-fundo/flona-de-passo-fundo" TargetMode="External"/><Relationship Id="rId4" Type="http://schemas.openxmlformats.org/officeDocument/2006/relationships/hyperlink" Target="https://www.gov.br/icmbio/pt-br/assuntos/biodiversidade/unidade-de-conservacao/unidades-de-biomas/mata-atlantica/lista-de-ucs/flona-de-cacador/arquivos/PLANO_GESTAO_FLONA_1989_compressed_compressed_compressed.pdf" TargetMode="External"/><Relationship Id="rId9" Type="http://schemas.openxmlformats.org/officeDocument/2006/relationships/hyperlink" Target="https://www.gov.br/icmbio/pt-br/assuntos/biodiversidade/unidade-de-conservacao/unidades-de-biomas/marinho/lista-de-ucs/parna-da-lagoa-do-peixe/copy_of_PM.pdf" TargetMode="External"/><Relationship Id="rId14" Type="http://schemas.openxmlformats.org/officeDocument/2006/relationships/hyperlink" Target="https://www.gov.br/icmbio/pt-br/assuntos/biodiversidade/unidade-de-conservacao/unidades-de-biomas/marinho/lista-de-ucs/parna-do-superagui/arquivos/plano_de_manejo_parna_do_superagui.pdf" TargetMode="External"/><Relationship Id="rId22" Type="http://schemas.openxmlformats.org/officeDocument/2006/relationships/hyperlink" Target="https://www.gov.br/icmbio/pt-br/assuntos/biodiversidade/unidade-de-conservacao/unidades-de-biomas/mata-atlantica/lista-de-ucs/arie-serra-da-abelha/arquivos/dcom_plano_de_manejo_arie_serra_da_abelha.pdf" TargetMode="External"/><Relationship Id="rId27" Type="http://schemas.openxmlformats.org/officeDocument/2006/relationships/hyperlink" Target="https://www.gov.br/icmbio/pt-br/assuntos/biodiversidade/unidade-de-conservacao/unidades-de-biomas/mata-atlantica/lista-de-ucs/esec-de-aracuri-esmeralda/arquivos/encartes1e2.pdf" TargetMode="External"/><Relationship Id="rId30" Type="http://schemas.openxmlformats.org/officeDocument/2006/relationships/hyperlink" Target="https://app.powerbi.com/view?r=eyJrIjoiMzJiNDNmMTktZmYyMS00NjA4LWFmMzctMDJmYWVjYWRiY2ZlIiwidCI6ImMxNGUyYjU2LWM1YmMtNDNiZC1hZDljLTQwOGNmNmNjMzU2MCJ9" TargetMode="External"/><Relationship Id="rId35" Type="http://schemas.openxmlformats.org/officeDocument/2006/relationships/hyperlink" Target="https://www.gov.br/icmbio/pt-br/assuntos/biodiversidade/unidade-de-conservacao/unidades-de-biomas/marinho/lista-de-ucs/esec-de-carijos/arquivos/1-monitoria_pm_esec_carijos_final.pdf" TargetMode="External"/><Relationship Id="rId43" Type="http://schemas.openxmlformats.org/officeDocument/2006/relationships/hyperlink" Target="https://www.gov.br/icmbio/pt-br/assuntos/biodiversidade/unidade-de-conservacao/unidades-de-biomas/pampa/lista-de-ucs/apa-do-ibirapuita/apa-do-ibirapuita" TargetMode="External"/><Relationship Id="rId48" Type="http://schemas.openxmlformats.org/officeDocument/2006/relationships/hyperlink" Target="https://www.gov.br/icmbio/pt-br/assuntos/biodiversidade/unidade-de-conservacao/unidades-de-biomas/mata-atlantica/lista-de-ucs/parna-da-serra-do-itajai" TargetMode="External"/><Relationship Id="rId56" Type="http://schemas.openxmlformats.org/officeDocument/2006/relationships/hyperlink" Target="https://www.gov.br/icmbio/pt-br/assuntos/biodiversidade/unidade-de-conservacao/unidades-de-biomas/marinho/lista-de-ucs/apa-de-guaraquecaba/apa-de-guaraquecaba" TargetMode="External"/><Relationship Id="rId64" Type="http://schemas.openxmlformats.org/officeDocument/2006/relationships/hyperlink" Target="https://www.gov.br/icmbio/pt-br/assuntos/biodiversidade/unidade-de-conservacao/unidades-de-biomas/mata-atlantica/lista-de-ucs/parna-dos-campos-gerais/parna-dos-campos-gerais" TargetMode="External"/><Relationship Id="rId69" Type="http://schemas.openxmlformats.org/officeDocument/2006/relationships/hyperlink" Target="https://www.gov.br/icmbio/pt-br/assuntos/biodiversidade/unidade-de-conservacao/unidades-de-biomas/marinho/lista-de-ucs/esec-de-carijos/esec-de-carijos" TargetMode="External"/><Relationship Id="rId77" Type="http://schemas.openxmlformats.org/officeDocument/2006/relationships/hyperlink" Target="https://www.gov.br/icmbio/pt-br/assuntos/biodiversidade/unidade-de-conservacao/unidades-de-biomas/mata-atlantica/lista-de-ucs/parna-das-araucarias/parna-das-araucarias" TargetMode="External"/><Relationship Id="rId8" Type="http://schemas.openxmlformats.org/officeDocument/2006/relationships/hyperlink" Target="https://www.gov.br/icmbio/pt-br/assuntos/biodiversidade/unidade-de-conservacao/unidades-de-biomas/mata-atlantica/lista-de-ucs/flona-de-tres-barras/arquivos/dcom_plano_de_manejo_flona_tres_barras_vol_i.pdf" TargetMode="External"/><Relationship Id="rId51" Type="http://schemas.openxmlformats.org/officeDocument/2006/relationships/hyperlink" Target="https://www.gov.br/icmbio/pt-br/assuntos/biodiversidade/unidade-de-conservacao/unidades-de-biomas/marinho/lista-de-ucs/parna-da-lagoa-do-peixe" TargetMode="External"/><Relationship Id="rId72" Type="http://schemas.openxmlformats.org/officeDocument/2006/relationships/hyperlink" Target="https://www.gov.br/icmbio/pt-br/assuntos/biodiversidade/unidade-de-conservacao/unidades-de-biomas/mata-atlantica/lista-de-ucs/arie-serra-da-abelha/arie-serra-da-abelha" TargetMode="External"/><Relationship Id="rId80" Type="http://schemas.openxmlformats.org/officeDocument/2006/relationships/hyperlink" Target="https://www.gov.br/icmbio/pt-br/assuntos/biodiversidade/unidade-de-conservacao/unidades-de-biomas/mata-atlantica/lista-de-ucs/apa-das-ilhas-e-varzeas-do-rio-parana/apa-das-ilhas-e-varzeas-do-rio-parana" TargetMode="External"/><Relationship Id="rId3" Type="http://schemas.openxmlformats.org/officeDocument/2006/relationships/hyperlink" Target="https://www.gov.br/icmbio/pt-br/assuntos/biodiversidade/unidade-de-conservacao/unidades-de-biomas/marinho/lista-de-ucs/esec-do-taim/arquivos/PM_ESEC_Taim_vs.11.pdf" TargetMode="External"/><Relationship Id="rId12" Type="http://schemas.openxmlformats.org/officeDocument/2006/relationships/hyperlink" Target="https://www.gov.br/icmbio/pt-br/assuntos/biodiversidade/unidade-de-conservacao/unidades-de-biomas/mata-atlantica/lista-de-ucs/parna-do-iguacu/arquivos/plano_de_manejo_do_parna_do_iguacu_fevereiro_2018.pdf" TargetMode="External"/><Relationship Id="rId17" Type="http://schemas.openxmlformats.org/officeDocument/2006/relationships/hyperlink" Target="https://www.gov.br/icmbio/pt-br/assuntos/biodiversidade/unidade-de-conservacao/unidades-de-biomas/mata-atlantica/lista-de-ucs/flona-de-irati/arquivos/flona_irati_vol1_pm.pdf" TargetMode="External"/><Relationship Id="rId25" Type="http://schemas.openxmlformats.org/officeDocument/2006/relationships/hyperlink" Target="https://www.gov.br/icmbio/pt-br/assuntos/biodiversidade/unidade-de-conservacao/unidades-de-biomas/mata-atlantica/lista-de-ucs/parna-das-araucarias/arquivos/pm_parna_araucarias_1.pdf" TargetMode="External"/><Relationship Id="rId33" Type="http://schemas.openxmlformats.org/officeDocument/2006/relationships/hyperlink" Target="https://www.gov.br/icmbio/pt-br/assuntos/biodiversidade/unidade-de-conservacao/unidades-de-biomas/mata-atlantica/lista-de-ucs/parna-guaricana/arquivos/copy_of_Plano_Manejo_PNG_V9_maio_24.pdf" TargetMode="External"/><Relationship Id="rId38" Type="http://schemas.openxmlformats.org/officeDocument/2006/relationships/hyperlink" Target="https://d3nehc6yl9qzo4.cloudfront.net/downloads/guia_fauna_parna_iguacu.pdf" TargetMode="External"/><Relationship Id="rId46" Type="http://schemas.openxmlformats.org/officeDocument/2006/relationships/hyperlink" Target="https://www.gov.br/icmbio/pt-br/assuntos/biodiversidade/unidade-de-conservacao/unidades-de-biomas/mata-atlantica/lista-de-ucs/flona-de-chapeco/flona-de-chapeco" TargetMode="External"/><Relationship Id="rId59" Type="http://schemas.openxmlformats.org/officeDocument/2006/relationships/hyperlink" Target="https://www.gov.br/icmbio/pt-br/assuntos/biodiversidade/unidade-de-conservacao/unidades-de-biomas/mata-atlantica/lista-de-ucs/rebio-bom-jesus/rebio-bom-jesus" TargetMode="External"/><Relationship Id="rId67" Type="http://schemas.openxmlformats.org/officeDocument/2006/relationships/hyperlink" Target="https://www.gov.br/icmbio/pt-br/assuntos/biodiversidade/unidade-de-conservacao/unidades-de-biomas/mata-atlantica/lista-de-ucs/parna-guaricana/parna-guaricana" TargetMode="External"/><Relationship Id="rId20" Type="http://schemas.openxmlformats.org/officeDocument/2006/relationships/hyperlink" Target="https://www.gov.br/icmbio/pt-br/assuntos/biodiversidade/unidade-de-conservacao/unidades-de-biomas/marinho/lista-de-ucs/rebio-marinha-do-arvoredo/arquivos/arvoredo_plano_manejo_1.zip" TargetMode="External"/><Relationship Id="rId41" Type="http://schemas.openxmlformats.org/officeDocument/2006/relationships/hyperlink" Target="https://app.powerbi.com/view?r=eyJrIjoiZWRiYTNkNjAtNzliYi00ZTdiLWIwYTYtOTBiNjU2NjEyMzk1IiwidCI6ImMxNGUyYjU2LWM1YmMtNDNiZC1hZDljLTQwOGNmNmNjMzU2MCJ9" TargetMode="External"/><Relationship Id="rId54" Type="http://schemas.openxmlformats.org/officeDocument/2006/relationships/hyperlink" Target="https://www.gov.br/icmbio/pt-br/assuntos/biodiversidade/unidade-de-conservacao/unidades-de-biomas/mata-atlantica/lista-de-ucs/rebio-das-perobas/rebio-das-perobas" TargetMode="External"/><Relationship Id="rId62" Type="http://schemas.openxmlformats.org/officeDocument/2006/relationships/hyperlink" Target="https://www.gov.br/icmbio/pt-br/assuntos/biodiversidade/unidade-de-conservacao/unidades-de-biomas/mata-atlantica/lista-de-ucs/flona-de-irati/flona-de-irati" TargetMode="External"/><Relationship Id="rId70" Type="http://schemas.openxmlformats.org/officeDocument/2006/relationships/hyperlink" Target="https://www.gov.br/icmbio/pt-br/assuntos/biodiversidade/unidade-de-conservacao/unidades-de-biomas/marinho/lista-de-ucs/rebio-marinha-do-arvoredo/rebio-marinha-do-arvoredo" TargetMode="External"/><Relationship Id="rId75" Type="http://schemas.openxmlformats.org/officeDocument/2006/relationships/hyperlink" Target="https://www.gov.br/icmbio/pt-br/assuntos/biodiversidade/unidade-de-conservacao/unidades-de-biomas/marinho/lista-de-ucs/parna-marinho-das-ilhas-dos-currais/parna-marinho-das-ilhas-dos-currais" TargetMode="External"/><Relationship Id="rId83" Type="http://schemas.openxmlformats.org/officeDocument/2006/relationships/printerSettings" Target="../printerSettings/printerSettings2.bin"/><Relationship Id="rId1" Type="http://schemas.openxmlformats.org/officeDocument/2006/relationships/hyperlink" Target="https://www.gov.br/icmbio/pt-br/assuntos/biodiversidade/unidade-de-conservacao/unidades-de-biomas/marinho/lista-de-ucs/apa-da-baleia-franca/arquivos/plano_de_manejo_apa_da_baleia_franca.pdf" TargetMode="External"/><Relationship Id="rId6" Type="http://schemas.openxmlformats.org/officeDocument/2006/relationships/hyperlink" Target="https://www.gov.br/icmbio/pt-br/assuntos/biodiversidade/unidade-de-conservacao/unidades-de-biomas/mata-atlantica/lista-de-ucs/flona-de-chapeco/arquivos/flona_chapeco_pm_res_execplano3.pdf" TargetMode="External"/><Relationship Id="rId15" Type="http://schemas.openxmlformats.org/officeDocument/2006/relationships/hyperlink" Target="https://www.gov.br/icmbio/pt-br/assuntos/biodiversidade/unidade-de-conservacao/unidades-de-biomas/mata-atlantica/lista-de-ucs/parna-da-serra-geral/arquivos/dcom_pm_parna_de_aparados_resumo_executivo.pdf" TargetMode="External"/><Relationship Id="rId23" Type="http://schemas.openxmlformats.org/officeDocument/2006/relationships/hyperlink" Target="https://www.gov.br/icmbio/pt-br/assuntos/biodiversidade/unidade-de-conservacao/unidades-de-biomas/mata-atlantica/lista-de-ucs/flona-de-ibirama/arquivos/flona_ibiramaaa.pdf" TargetMode="External"/><Relationship Id="rId28" Type="http://schemas.openxmlformats.org/officeDocument/2006/relationships/hyperlink" Target="https://www.gov.br/icmbio/pt-br/assuntos/biodiversidade/unidade-de-conservacao/unidades-de-biomas/mata-atlantica/lista-de-ucs/flona-de-passo-fundo/arquivos/resumo_exec_pf_abril_2012_final.pdf" TargetMode="External"/><Relationship Id="rId36" Type="http://schemas.openxmlformats.org/officeDocument/2006/relationships/hyperlink" Target="https://www.gov.br/icmbio/pt-br/assuntos/biodiversidade/unidade-de-conservacao/unidades-de-biomas/mata-atlantica/lista-de-ucs/parna-de-saint-hilaire-lange/arquivos/plano_manejo_pnsaint_hilaire_lange_abr2024_final.pdf" TargetMode="External"/><Relationship Id="rId49" Type="http://schemas.openxmlformats.org/officeDocument/2006/relationships/hyperlink" Target="https://www.gov.br/icmbio/pt-br/assuntos/biodiversidade/unidade-de-conservacao/unidades-de-biomas/mata-atlantica/lista-de-ucs/flona-de-tres-barras/flona-de-tres-barras" TargetMode="External"/><Relationship Id="rId57" Type="http://schemas.openxmlformats.org/officeDocument/2006/relationships/hyperlink" Target="https://www.gov.br/icmbio/pt-br/assuntos/biodiversidade/unidade-de-conservacao/unidades-de-biomas/marinho/lista-de-ucs/esec-de-guaraquecaba/esec-de-guaraquecaba"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gov.br/icmbio/pt-br/assuntos/biodiversidade/pan/pan-herpetofauna-do-sul" TargetMode="External"/><Relationship Id="rId13" Type="http://schemas.openxmlformats.org/officeDocument/2006/relationships/hyperlink" Target="https://www.gov.br/icmbio/pt-br/assuntos/biodiversidade/pan/pan-papagaios" TargetMode="External"/><Relationship Id="rId18" Type="http://schemas.openxmlformats.org/officeDocument/2006/relationships/hyperlink" Target="https://www.gov.br/icmbio/pt-br/assuntos/biodiversidade/pan/pan-aves-da-mata-atlantica" TargetMode="External"/><Relationship Id="rId26" Type="http://schemas.openxmlformats.org/officeDocument/2006/relationships/hyperlink" Target="https://www.gov.br/icmbio/pt-br/assuntos/biodiversidade/pan/pan-peixes-e-eglas-da-ma" TargetMode="External"/><Relationship Id="rId39" Type="http://schemas.openxmlformats.org/officeDocument/2006/relationships/hyperlink" Target="https://www.gov.br/icmbio/pt-br/assuntos/biodiversidade/pan/pan-cerpan" TargetMode="External"/><Relationship Id="rId3" Type="http://schemas.openxmlformats.org/officeDocument/2006/relationships/hyperlink" Target="https://www.gov.br/icmbio/pt-br/assuntos/biodiversidade/pan/pan-cetaceos-marinhos" TargetMode="External"/><Relationship Id="rId21" Type="http://schemas.openxmlformats.org/officeDocument/2006/relationships/hyperlink" Target="https://www.gov.br/icmbio/pt-br/assuntos/biodiversidade/pan/pan-albatrozes-e-petreis" TargetMode="External"/><Relationship Id="rId34" Type="http://schemas.openxmlformats.org/officeDocument/2006/relationships/hyperlink" Target="https://www.gov.br/icmbio/pt-br/assuntos/biodiversidade/pan/pan-lagoas-do-sul" TargetMode="External"/><Relationship Id="rId42" Type="http://schemas.openxmlformats.org/officeDocument/2006/relationships/printerSettings" Target="../printerSettings/printerSettings4.bin"/><Relationship Id="rId7" Type="http://schemas.openxmlformats.org/officeDocument/2006/relationships/hyperlink" Target="https://www.gov.br/icmbio/pt-br/assuntos/biodiversidade/pan/pan-tamandua-e-tatus" TargetMode="External"/><Relationship Id="rId12" Type="http://schemas.openxmlformats.org/officeDocument/2006/relationships/hyperlink" Target="https://www.gov.br/icmbio/pt-br/assuntos/biodiversidade/pan/pan-cavernas-do-brasil" TargetMode="External"/><Relationship Id="rId17" Type="http://schemas.openxmlformats.org/officeDocument/2006/relationships/hyperlink" Target="https://www.gov.br/icmbio/pt-br/assuntos/biodiversidade/pan/pan-aves-limicolas-migratorias" TargetMode="External"/><Relationship Id="rId25" Type="http://schemas.openxmlformats.org/officeDocument/2006/relationships/hyperlink" Target="https://www.gov.br/icmbio/pt-br/assuntos/biodiversidade/pan/pan-tubaroes" TargetMode="External"/><Relationship Id="rId33" Type="http://schemas.openxmlformats.org/officeDocument/2006/relationships/hyperlink" Target="https://www.gov.br/icmbio/pt-br/assuntos/biodiversidade/pan/pan-corais" TargetMode="External"/><Relationship Id="rId38" Type="http://schemas.openxmlformats.org/officeDocument/2006/relationships/hyperlink" Target="https://www.gov.br/icmbio/pt-br/assuntos/biodiversidade/pan/pan-canideos" TargetMode="External"/><Relationship Id="rId2" Type="http://schemas.openxmlformats.org/officeDocument/2006/relationships/hyperlink" Target="https://www.gov.br/icmbio/pt-br/assuntos/biodiversidade/pan/pan-cetaceos-marinhos" TargetMode="External"/><Relationship Id="rId16" Type="http://schemas.openxmlformats.org/officeDocument/2006/relationships/hyperlink" Target="https://www.gov.br/icmbio/pt-br/assuntos/biodiversidade/pan/pan-albatrozes-e-petreis" TargetMode="External"/><Relationship Id="rId20" Type="http://schemas.openxmlformats.org/officeDocument/2006/relationships/hyperlink" Target="https://www.gov.br/icmbio/pt-br/assuntos/biodiversidade/pan/pan-aves-marinhas" TargetMode="External"/><Relationship Id="rId29" Type="http://schemas.openxmlformats.org/officeDocument/2006/relationships/hyperlink" Target="https://www.gov.br/icmbio/pt-br/assuntos/biodiversidade/pan/pan-toninha" TargetMode="External"/><Relationship Id="rId41" Type="http://schemas.openxmlformats.org/officeDocument/2006/relationships/hyperlink" Target="https://www.gov.br/icmbio/pt-br/assuntos/biodiversidade/pan/pan-ariranha" TargetMode="External"/><Relationship Id="rId1" Type="http://schemas.openxmlformats.org/officeDocument/2006/relationships/hyperlink" Target="https://www.gov.br/icmbio/pt-br/assuntos/biodiversidade/pan/pan-alto-parana" TargetMode="External"/><Relationship Id="rId6" Type="http://schemas.openxmlformats.org/officeDocument/2006/relationships/hyperlink" Target="https://www.gov.br/icmbio/pt-br/assuntos/biodiversidade/pan/pan-herpetofauna-do-sul" TargetMode="External"/><Relationship Id="rId11" Type="http://schemas.openxmlformats.org/officeDocument/2006/relationships/hyperlink" Target="https://www.gov.br/icmbio/pt-br/assuntos/biodiversidade/pan/pan-insetos-polinizadores" TargetMode="External"/><Relationship Id="rId24" Type="http://schemas.openxmlformats.org/officeDocument/2006/relationships/hyperlink" Target="https://www.gov.br/icmbio/pt-br/assuntos/biodiversidade/pan/pan-lagoas-do-sul" TargetMode="External"/><Relationship Id="rId32" Type="http://schemas.openxmlformats.org/officeDocument/2006/relationships/hyperlink" Target="https://www.gov.br/icmbio/pt-br/assuntos/biodiversidade/pan/pan-corais" TargetMode="External"/><Relationship Id="rId37" Type="http://schemas.openxmlformats.org/officeDocument/2006/relationships/hyperlink" Target="https://www.gov.br/icmbio/pt-br/assuntos/biodiversidade/pan/pan-cerpan" TargetMode="External"/><Relationship Id="rId40" Type="http://schemas.openxmlformats.org/officeDocument/2006/relationships/hyperlink" Target="https://www.gov.br/icmbio/pt-br/assuntos/biodiversidade/pan/pan-aves-do-cerrado-e-pantanal" TargetMode="External"/><Relationship Id="rId5" Type="http://schemas.openxmlformats.org/officeDocument/2006/relationships/hyperlink" Target="https://www.gov.br/icmbio/pt-br/assuntos/biodiversidade/pan/pan-corais" TargetMode="External"/><Relationship Id="rId15" Type="http://schemas.openxmlformats.org/officeDocument/2006/relationships/hyperlink" Target="https://www.gov.br/icmbio/pt-br/assuntos/biodiversidade/pan/pan-aves-marinhas" TargetMode="External"/><Relationship Id="rId23" Type="http://schemas.openxmlformats.org/officeDocument/2006/relationships/hyperlink" Target="https://www.gov.br/icmbio/pt-br/assuntos/biodiversidade/pan/pan-canideos" TargetMode="External"/><Relationship Id="rId28" Type="http://schemas.openxmlformats.org/officeDocument/2006/relationships/hyperlink" Target="https://www.gov.br/icmbio/pt-br/assuntos/biodiversidade/pan/pan-aves-da-mata-atlantica" TargetMode="External"/><Relationship Id="rId36" Type="http://schemas.openxmlformats.org/officeDocument/2006/relationships/hyperlink" Target="https://www.gov.br/icmbio/pt-br/assuntos/biodiversidade/pan/pan-baixo-iguacu" TargetMode="External"/><Relationship Id="rId10" Type="http://schemas.openxmlformats.org/officeDocument/2006/relationships/hyperlink" Target="https://www.gov.br/icmbio/pt-br/assuntos/biodiversidade/pan/pan-primatas-ma-e-preguica-de-coleira" TargetMode="External"/><Relationship Id="rId19" Type="http://schemas.openxmlformats.org/officeDocument/2006/relationships/hyperlink" Target="https://www.gov.br/icmbio/pt-br/assuntos/biodiversidade/pan/pan-aves-dos-campos-sulinos" TargetMode="External"/><Relationship Id="rId31" Type="http://schemas.openxmlformats.org/officeDocument/2006/relationships/hyperlink" Target="https://www.gov.br/icmbio/pt-br/assuntos/biodiversidade/pan/pan-grandes-felinos" TargetMode="External"/><Relationship Id="rId4" Type="http://schemas.openxmlformats.org/officeDocument/2006/relationships/hyperlink" Target="https://www.gov.br/icmbio/pt-br/assuntos/biodiversidade/pan/pan-toninha" TargetMode="External"/><Relationship Id="rId9" Type="http://schemas.openxmlformats.org/officeDocument/2006/relationships/hyperlink" Target="https://www.gov.br/icmbio/pt-br/assuntos/biodiversidade/pan/pan-primatas-ma-e-preguica-de-coleira" TargetMode="External"/><Relationship Id="rId14" Type="http://schemas.openxmlformats.org/officeDocument/2006/relationships/hyperlink" Target="https://www.gov.br/icmbio/pt-br/assuntos/biodiversidade/pan/pan-aves-dos-campos-sulinos" TargetMode="External"/><Relationship Id="rId22" Type="http://schemas.openxmlformats.org/officeDocument/2006/relationships/hyperlink" Target="https://www.gov.br/icmbio/pt-br/assuntos/biodiversidade/pan/pan-ungulados" TargetMode="External"/><Relationship Id="rId27" Type="http://schemas.openxmlformats.org/officeDocument/2006/relationships/hyperlink" Target="https://www.gov.br/icmbio/pt-br/assuntos/biodiversidade/pan/pan-tartarugas-marinhas" TargetMode="External"/><Relationship Id="rId30" Type="http://schemas.openxmlformats.org/officeDocument/2006/relationships/hyperlink" Target="https://www.gov.br/icmbio/pt-br/assuntos/biodiversidade/pan/pan-grandes-felinos" TargetMode="External"/><Relationship Id="rId35" Type="http://schemas.openxmlformats.org/officeDocument/2006/relationships/hyperlink" Target="https://www.gov.br/icmbio/pt-br/assuntos/biodiversidade/pan/pan-baixo-iguacu" TargetMode="External"/><Relationship Id="rId4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5.bin"/><Relationship Id="rId1" Type="http://schemas.openxmlformats.org/officeDocument/2006/relationships/hyperlink" Target="https://dados.gov.br/dados/conjuntos-dados/planos-de-acao-nacional-para-a-conservacao-das-especies-ameacadas-de-extincao-pan"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1:X16"/>
  <sheetViews>
    <sheetView showGridLines="0" tabSelected="1" zoomScale="90" zoomScaleNormal="90" workbookViewId="0">
      <selection activeCell="C2" sqref="C2"/>
    </sheetView>
  </sheetViews>
  <sheetFormatPr defaultRowHeight="15"/>
  <cols>
    <col min="1" max="1" width="32.85546875" customWidth="1"/>
    <col min="2" max="2" width="115.140625" customWidth="1"/>
    <col min="3" max="3" width="54.28515625" style="31" customWidth="1"/>
    <col min="4" max="4" width="59.140625" customWidth="1"/>
    <col min="5" max="5" width="34.85546875" customWidth="1"/>
  </cols>
  <sheetData>
    <row r="1" spans="1:24" s="11" customFormat="1" ht="30.75" customHeight="1">
      <c r="A1" s="12"/>
      <c r="B1" s="88" t="s">
        <v>1996</v>
      </c>
      <c r="C1" s="245"/>
      <c r="D1" s="12"/>
      <c r="E1" s="13"/>
      <c r="F1" s="14"/>
      <c r="G1" s="14"/>
      <c r="H1" s="14"/>
      <c r="I1" s="14"/>
      <c r="J1" s="14"/>
      <c r="K1" s="14"/>
      <c r="L1" s="14"/>
      <c r="M1" s="14"/>
      <c r="N1" s="14"/>
      <c r="O1" s="14"/>
      <c r="P1" s="14"/>
      <c r="Q1" s="14"/>
      <c r="R1" s="14"/>
      <c r="S1" s="14"/>
      <c r="T1" s="14"/>
      <c r="U1" s="14"/>
      <c r="V1" s="14"/>
      <c r="W1" s="14"/>
      <c r="X1" s="14"/>
    </row>
    <row r="2" spans="1:24" ht="231" customHeight="1">
      <c r="A2" s="2" t="s">
        <v>0</v>
      </c>
      <c r="B2" s="3" t="s">
        <v>2539</v>
      </c>
      <c r="C2" s="246"/>
    </row>
    <row r="3" spans="1:24" ht="18.75" customHeight="1">
      <c r="A3" s="1" t="s">
        <v>1</v>
      </c>
    </row>
    <row r="4" spans="1:24" ht="195">
      <c r="A4" s="77" t="s">
        <v>2175</v>
      </c>
      <c r="B4" s="4" t="s">
        <v>2327</v>
      </c>
    </row>
    <row r="5" spans="1:24" ht="150">
      <c r="A5" s="164" t="s">
        <v>3</v>
      </c>
      <c r="B5" s="4" t="s">
        <v>2502</v>
      </c>
    </row>
    <row r="6" spans="1:24" ht="90">
      <c r="A6" s="78" t="s">
        <v>2</v>
      </c>
      <c r="B6" s="4" t="s">
        <v>2030</v>
      </c>
    </row>
    <row r="7" spans="1:24" ht="30">
      <c r="A7" s="79" t="s">
        <v>4</v>
      </c>
      <c r="B7" s="4" t="s">
        <v>2200</v>
      </c>
    </row>
    <row r="9" spans="1:24" ht="19.5" customHeight="1">
      <c r="A9" s="5" t="s">
        <v>2328</v>
      </c>
      <c r="B9" s="6" t="s">
        <v>5</v>
      </c>
      <c r="C9" s="247" t="s">
        <v>6</v>
      </c>
      <c r="D9" s="76" t="s">
        <v>7</v>
      </c>
    </row>
    <row r="10" spans="1:24" ht="60">
      <c r="A10" s="83" t="s">
        <v>2037</v>
      </c>
      <c r="B10" s="7" t="s">
        <v>8</v>
      </c>
      <c r="C10" s="248" t="s">
        <v>9</v>
      </c>
      <c r="D10" s="8" t="s">
        <v>10</v>
      </c>
    </row>
    <row r="11" spans="1:24" ht="60">
      <c r="A11" s="84" t="s">
        <v>11</v>
      </c>
      <c r="B11" s="7" t="s">
        <v>12</v>
      </c>
      <c r="C11" s="249" t="s">
        <v>13</v>
      </c>
      <c r="D11" s="8" t="s">
        <v>2039</v>
      </c>
    </row>
    <row r="12" spans="1:24" ht="45">
      <c r="A12" s="85" t="s">
        <v>14</v>
      </c>
      <c r="B12" s="46" t="s">
        <v>15</v>
      </c>
      <c r="C12" s="249" t="s">
        <v>16</v>
      </c>
      <c r="D12" s="8" t="s">
        <v>2040</v>
      </c>
      <c r="F12" s="10"/>
      <c r="G12" s="10"/>
      <c r="H12" s="10"/>
      <c r="I12" s="10"/>
      <c r="J12" s="10"/>
      <c r="K12" s="10"/>
      <c r="L12" s="10"/>
      <c r="M12" s="10"/>
      <c r="N12" s="10"/>
      <c r="O12" s="10"/>
      <c r="P12" s="10"/>
      <c r="Q12" s="10"/>
      <c r="R12" s="10"/>
      <c r="S12" s="10"/>
      <c r="T12" s="10"/>
      <c r="U12" s="10"/>
      <c r="V12" s="10"/>
      <c r="W12" s="10"/>
      <c r="X12" s="10"/>
    </row>
    <row r="13" spans="1:24" s="41" customFormat="1" ht="60">
      <c r="A13" s="86" t="s">
        <v>17</v>
      </c>
      <c r="B13" s="7" t="s">
        <v>2041</v>
      </c>
      <c r="C13" s="249" t="s">
        <v>18</v>
      </c>
      <c r="D13" s="8" t="s">
        <v>2544</v>
      </c>
      <c r="F13" s="80"/>
      <c r="G13" s="80"/>
      <c r="H13" s="80"/>
      <c r="I13" s="80"/>
      <c r="J13" s="80"/>
      <c r="K13" s="80"/>
      <c r="L13" s="80"/>
      <c r="M13" s="80"/>
      <c r="N13" s="80"/>
      <c r="O13" s="80"/>
      <c r="P13" s="80"/>
      <c r="Q13" s="80"/>
      <c r="R13" s="80"/>
      <c r="S13" s="80"/>
      <c r="T13" s="80"/>
      <c r="U13" s="80"/>
      <c r="V13" s="80"/>
      <c r="W13" s="80"/>
      <c r="X13" s="80"/>
    </row>
    <row r="14" spans="1:24" ht="105">
      <c r="A14" s="86" t="s">
        <v>19</v>
      </c>
      <c r="B14" s="46" t="s">
        <v>20</v>
      </c>
      <c r="C14" s="249" t="s">
        <v>21</v>
      </c>
      <c r="D14" s="8" t="s">
        <v>2038</v>
      </c>
      <c r="F14" s="10"/>
      <c r="G14" s="10"/>
      <c r="H14" s="10"/>
      <c r="I14" s="10"/>
      <c r="J14" s="10"/>
      <c r="K14" s="10"/>
      <c r="L14" s="10"/>
      <c r="M14" s="10"/>
      <c r="N14" s="10"/>
      <c r="O14" s="10"/>
      <c r="P14" s="10"/>
      <c r="Q14" s="10"/>
      <c r="R14" s="10"/>
      <c r="S14" s="10"/>
      <c r="T14" s="10"/>
      <c r="U14" s="10"/>
      <c r="V14" s="10"/>
      <c r="W14" s="10"/>
      <c r="X14" s="10"/>
    </row>
    <row r="15" spans="1:24" s="41" customFormat="1" ht="60">
      <c r="A15" s="86" t="s">
        <v>22</v>
      </c>
      <c r="B15" s="82" t="s">
        <v>23</v>
      </c>
      <c r="C15" s="250" t="s">
        <v>24</v>
      </c>
      <c r="D15" s="4" t="s">
        <v>2545</v>
      </c>
      <c r="F15" s="80"/>
      <c r="G15" s="80"/>
      <c r="H15" s="80"/>
      <c r="I15" s="80"/>
      <c r="J15" s="80"/>
      <c r="K15" s="80"/>
      <c r="L15" s="80"/>
      <c r="M15" s="80"/>
      <c r="N15" s="80"/>
      <c r="O15" s="80"/>
      <c r="P15" s="80"/>
      <c r="Q15" s="80"/>
      <c r="R15" s="80"/>
      <c r="S15" s="80"/>
      <c r="T15" s="80"/>
      <c r="U15" s="80"/>
      <c r="V15" s="80"/>
      <c r="W15" s="80"/>
      <c r="X15" s="80"/>
    </row>
    <row r="16" spans="1:24" ht="45">
      <c r="A16" s="103" t="s">
        <v>2179</v>
      </c>
      <c r="B16" s="9" t="s">
        <v>2178</v>
      </c>
      <c r="C16" s="249" t="s">
        <v>25</v>
      </c>
      <c r="D16" s="8" t="s">
        <v>2523</v>
      </c>
    </row>
  </sheetData>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sheetPr>
    <tabColor theme="9" tint="0.59999389629810485"/>
  </sheetPr>
  <dimension ref="A1:AU43"/>
  <sheetViews>
    <sheetView showGridLines="0" zoomScale="60" zoomScaleNormal="60" workbookViewId="0">
      <pane ySplit="2" topLeftCell="A3" activePane="bottomLeft" state="frozen"/>
      <selection pane="bottomLeft" activeCell="I3" sqref="I3"/>
    </sheetView>
  </sheetViews>
  <sheetFormatPr defaultColWidth="9.140625" defaultRowHeight="40.5" customHeight="1"/>
  <cols>
    <col min="1" max="1" width="14.7109375" style="60" customWidth="1"/>
    <col min="2" max="2" width="44.140625" style="60" customWidth="1"/>
    <col min="3" max="5" width="11.140625" style="60" customWidth="1"/>
    <col min="6" max="6" width="30.85546875" style="64" customWidth="1"/>
    <col min="7" max="7" width="27.28515625" style="64" customWidth="1"/>
    <col min="8" max="8" width="34.85546875" style="64" customWidth="1"/>
    <col min="9" max="9" width="41.5703125" style="60" customWidth="1"/>
    <col min="10" max="10" width="35" style="53" customWidth="1"/>
    <col min="11" max="11" width="19.5703125" style="53" customWidth="1"/>
    <col min="12" max="12" width="14" style="53" customWidth="1" collapsed="1"/>
    <col min="13" max="13" width="33.140625" style="53" customWidth="1"/>
    <col min="14" max="15" width="33.140625" style="65" customWidth="1"/>
    <col min="16" max="16" width="32.7109375" style="65" customWidth="1"/>
    <col min="17" max="17" width="36.7109375" style="65" customWidth="1"/>
    <col min="18" max="18" width="18" style="64" customWidth="1"/>
    <col min="19" max="19" width="22.7109375" style="64" customWidth="1"/>
    <col min="20" max="20" width="20.7109375" style="64" customWidth="1"/>
    <col min="21" max="21" width="28.7109375" style="64" customWidth="1"/>
    <col min="22" max="22" width="28.5703125" style="64" customWidth="1" collapsed="1"/>
    <col min="23" max="23" width="35.28515625" style="65" customWidth="1"/>
    <col min="24" max="24" width="35.28515625" style="64" customWidth="1"/>
    <col min="25" max="25" width="26.5703125" style="109" customWidth="1"/>
    <col min="26" max="26" width="20.7109375" style="64" customWidth="1"/>
    <col min="27" max="27" width="33.140625" style="110" customWidth="1"/>
    <col min="28" max="28" width="41.5703125" style="30" customWidth="1"/>
    <col min="29" max="29" width="41.5703125" style="64" customWidth="1"/>
    <col min="30" max="31" width="41.5703125" customWidth="1"/>
    <col min="32" max="32" width="40.85546875" customWidth="1"/>
    <col min="33" max="33" width="32.85546875" customWidth="1"/>
    <col min="34" max="34" width="35" style="64" customWidth="1"/>
    <col min="35" max="35" width="77.140625" style="53" customWidth="1"/>
    <col min="36" max="36" width="30.28515625" style="64" customWidth="1"/>
    <col min="37" max="37" width="35.5703125" style="64" customWidth="1"/>
    <col min="38" max="38" width="35.85546875" style="64" customWidth="1"/>
    <col min="39" max="39" width="39.140625" style="64" customWidth="1"/>
    <col min="41" max="41" width="31.5703125" customWidth="1"/>
    <col min="42" max="42" width="38" customWidth="1"/>
    <col min="44" max="44" width="27.5703125" style="60" customWidth="1"/>
    <col min="46" max="46" width="25.140625" style="60" customWidth="1"/>
    <col min="47" max="47" width="20.42578125" style="64" customWidth="1"/>
    <col min="48" max="16384" width="9.140625" style="60"/>
  </cols>
  <sheetData>
    <row r="1" spans="1:47" s="52" customFormat="1" ht="33.75" customHeight="1">
      <c r="A1" s="119" t="s">
        <v>2176</v>
      </c>
      <c r="B1" s="48"/>
      <c r="C1" s="48"/>
      <c r="D1" s="47"/>
      <c r="E1" s="47"/>
      <c r="F1" s="49"/>
      <c r="G1" s="49"/>
      <c r="H1" s="49"/>
      <c r="I1" s="49"/>
      <c r="J1" s="49"/>
      <c r="K1" s="49"/>
      <c r="L1" s="50"/>
      <c r="M1" s="50"/>
      <c r="N1" s="51"/>
      <c r="O1" s="51"/>
      <c r="P1" s="51"/>
      <c r="Q1" s="51"/>
      <c r="R1" s="213"/>
      <c r="S1" s="49"/>
      <c r="T1" s="49"/>
      <c r="U1" s="49"/>
      <c r="V1" s="49"/>
      <c r="W1" s="49"/>
      <c r="X1" s="102"/>
      <c r="Y1" s="113"/>
      <c r="Z1" s="114"/>
      <c r="AA1" s="115"/>
      <c r="AB1" s="114" t="s">
        <v>2177</v>
      </c>
      <c r="AC1" s="116"/>
      <c r="AD1" s="114"/>
      <c r="AE1" s="114"/>
      <c r="AF1" s="116"/>
      <c r="AG1" s="117"/>
      <c r="AH1" s="117"/>
      <c r="AI1" s="118"/>
    </row>
    <row r="2" spans="1:47" s="212" customFormat="1" ht="65.25" customHeight="1" thickBot="1">
      <c r="A2" s="200" t="s">
        <v>161</v>
      </c>
      <c r="B2" s="201" t="s">
        <v>1702</v>
      </c>
      <c r="C2" s="200" t="s">
        <v>162</v>
      </c>
      <c r="D2" s="200" t="s">
        <v>163</v>
      </c>
      <c r="E2" s="200" t="s">
        <v>26</v>
      </c>
      <c r="F2" s="201" t="s">
        <v>164</v>
      </c>
      <c r="G2" s="201" t="s">
        <v>165</v>
      </c>
      <c r="H2" s="201" t="s">
        <v>2499</v>
      </c>
      <c r="I2" s="202" t="s">
        <v>178</v>
      </c>
      <c r="J2" s="100" t="s">
        <v>2174</v>
      </c>
      <c r="K2" s="214" t="s">
        <v>2495</v>
      </c>
      <c r="L2" s="201" t="s">
        <v>166</v>
      </c>
      <c r="M2" s="203" t="s">
        <v>167</v>
      </c>
      <c r="N2" s="204" t="s">
        <v>2190</v>
      </c>
      <c r="O2" s="205" t="s">
        <v>168</v>
      </c>
      <c r="P2" s="205" t="s">
        <v>169</v>
      </c>
      <c r="Q2" s="206" t="s">
        <v>170</v>
      </c>
      <c r="R2" s="206" t="s">
        <v>171</v>
      </c>
      <c r="S2" s="207" t="s">
        <v>172</v>
      </c>
      <c r="T2" s="208" t="s">
        <v>2043</v>
      </c>
      <c r="U2" s="209" t="s">
        <v>2044</v>
      </c>
      <c r="V2" s="209" t="s">
        <v>173</v>
      </c>
      <c r="W2" s="209" t="s">
        <v>174</v>
      </c>
      <c r="X2" s="209" t="s">
        <v>2189</v>
      </c>
      <c r="Y2" s="210" t="s">
        <v>2489</v>
      </c>
      <c r="Z2" s="211" t="s">
        <v>2490</v>
      </c>
      <c r="AA2" s="211" t="s">
        <v>2048</v>
      </c>
      <c r="AB2" s="211" t="s">
        <v>2047</v>
      </c>
      <c r="AC2" s="215" t="s">
        <v>2136</v>
      </c>
      <c r="AD2" s="215" t="s">
        <v>175</v>
      </c>
      <c r="AE2" s="215" t="s">
        <v>2525</v>
      </c>
      <c r="AF2" s="215" t="s">
        <v>176</v>
      </c>
      <c r="AG2" s="211" t="s">
        <v>179</v>
      </c>
      <c r="AH2" s="211" t="s">
        <v>180</v>
      </c>
      <c r="AI2" s="216" t="s">
        <v>177</v>
      </c>
    </row>
    <row r="3" spans="1:47" s="52" customFormat="1" ht="72.75" customHeight="1">
      <c r="A3" s="56" t="s">
        <v>181</v>
      </c>
      <c r="B3" s="199" t="s">
        <v>91</v>
      </c>
      <c r="C3" s="56" t="s">
        <v>182</v>
      </c>
      <c r="D3" s="56" t="s">
        <v>183</v>
      </c>
      <c r="E3" s="56" t="s">
        <v>40</v>
      </c>
      <c r="F3" s="54" t="s">
        <v>184</v>
      </c>
      <c r="G3" s="54" t="s">
        <v>185</v>
      </c>
      <c r="H3" s="54" t="s">
        <v>186</v>
      </c>
      <c r="I3" s="54" t="s">
        <v>103</v>
      </c>
      <c r="J3" s="54">
        <v>6</v>
      </c>
      <c r="K3" s="54" t="s">
        <v>592</v>
      </c>
      <c r="L3" s="58" t="s">
        <v>187</v>
      </c>
      <c r="M3" s="28" t="s">
        <v>188</v>
      </c>
      <c r="N3" s="72" t="s">
        <v>189</v>
      </c>
      <c r="O3" s="28" t="s">
        <v>190</v>
      </c>
      <c r="P3" s="28" t="s">
        <v>191</v>
      </c>
      <c r="Q3" s="28" t="s">
        <v>192</v>
      </c>
      <c r="R3" s="54">
        <v>154</v>
      </c>
      <c r="S3" s="59">
        <v>5</v>
      </c>
      <c r="T3" s="54">
        <v>1</v>
      </c>
      <c r="U3" s="54">
        <v>21</v>
      </c>
      <c r="V3" s="54">
        <v>33</v>
      </c>
      <c r="W3" s="81" t="s">
        <v>193</v>
      </c>
      <c r="X3" s="101" t="s">
        <v>194</v>
      </c>
      <c r="Y3" s="101" t="s">
        <v>2493</v>
      </c>
      <c r="Z3" s="101" t="s">
        <v>2494</v>
      </c>
      <c r="AA3" s="231" t="s">
        <v>2131</v>
      </c>
      <c r="AB3" s="232" t="s">
        <v>2133</v>
      </c>
      <c r="AC3" s="232" t="s">
        <v>2132</v>
      </c>
      <c r="AD3" s="233" t="s">
        <v>2057</v>
      </c>
      <c r="AE3" s="233" t="s">
        <v>610</v>
      </c>
      <c r="AF3" s="233" t="s">
        <v>2134</v>
      </c>
      <c r="AG3" s="232" t="s">
        <v>2056</v>
      </c>
      <c r="AH3" s="233" t="s">
        <v>2055</v>
      </c>
      <c r="AI3" s="233" t="s">
        <v>195</v>
      </c>
    </row>
    <row r="4" spans="1:47" s="52" customFormat="1" ht="72.75" customHeight="1">
      <c r="A4" s="56" t="s">
        <v>196</v>
      </c>
      <c r="B4" s="199" t="s">
        <v>626</v>
      </c>
      <c r="C4" s="56" t="s">
        <v>182</v>
      </c>
      <c r="D4" s="56" t="s">
        <v>183</v>
      </c>
      <c r="E4" s="56" t="s">
        <v>39</v>
      </c>
      <c r="F4" s="54" t="s">
        <v>197</v>
      </c>
      <c r="G4" s="54" t="s">
        <v>198</v>
      </c>
      <c r="H4" s="54" t="s">
        <v>199</v>
      </c>
      <c r="I4" s="54" t="s">
        <v>103</v>
      </c>
      <c r="J4" s="54">
        <v>1</v>
      </c>
      <c r="K4" s="54" t="s">
        <v>592</v>
      </c>
      <c r="L4" s="58" t="s">
        <v>200</v>
      </c>
      <c r="M4" s="28" t="s">
        <v>201</v>
      </c>
      <c r="N4" s="28" t="s">
        <v>202</v>
      </c>
      <c r="O4" s="28" t="s">
        <v>203</v>
      </c>
      <c r="P4" s="55" t="s">
        <v>204</v>
      </c>
      <c r="Q4" s="28" t="s">
        <v>205</v>
      </c>
      <c r="R4" s="54">
        <v>100</v>
      </c>
      <c r="S4" s="59">
        <v>9</v>
      </c>
      <c r="T4" s="54">
        <v>3</v>
      </c>
      <c r="U4" s="54">
        <v>10</v>
      </c>
      <c r="V4" s="54">
        <v>10</v>
      </c>
      <c r="W4" s="81" t="s">
        <v>206</v>
      </c>
      <c r="X4" s="54" t="s">
        <v>207</v>
      </c>
      <c r="Y4" s="101" t="s">
        <v>2493</v>
      </c>
      <c r="Z4" s="54" t="s">
        <v>2491</v>
      </c>
      <c r="AA4" s="234" t="s">
        <v>2092</v>
      </c>
      <c r="AB4" s="195" t="s">
        <v>2094</v>
      </c>
      <c r="AC4" s="195" t="s">
        <v>2095</v>
      </c>
      <c r="AD4" s="233" t="s">
        <v>2096</v>
      </c>
      <c r="AE4" s="233" t="s">
        <v>2526</v>
      </c>
      <c r="AF4" s="233" t="s">
        <v>2117</v>
      </c>
      <c r="AG4" s="233" t="s">
        <v>208</v>
      </c>
      <c r="AH4" s="233" t="s">
        <v>209</v>
      </c>
      <c r="AI4" s="233" t="s">
        <v>103</v>
      </c>
    </row>
    <row r="5" spans="1:47" ht="72.75" customHeight="1">
      <c r="A5" s="56" t="s">
        <v>210</v>
      </c>
      <c r="B5" s="199" t="s">
        <v>2314</v>
      </c>
      <c r="C5" s="56" t="s">
        <v>211</v>
      </c>
      <c r="D5" s="56" t="s">
        <v>212</v>
      </c>
      <c r="E5" s="56" t="s">
        <v>39</v>
      </c>
      <c r="F5" s="54" t="s">
        <v>213</v>
      </c>
      <c r="G5" s="54" t="s">
        <v>198</v>
      </c>
      <c r="H5" s="54" t="s">
        <v>214</v>
      </c>
      <c r="I5" s="54" t="s">
        <v>103</v>
      </c>
      <c r="J5" s="54">
        <v>10</v>
      </c>
      <c r="K5" s="54" t="s">
        <v>592</v>
      </c>
      <c r="L5" s="58" t="s">
        <v>215</v>
      </c>
      <c r="M5" s="28" t="s">
        <v>216</v>
      </c>
      <c r="N5" s="28" t="s">
        <v>103</v>
      </c>
      <c r="O5" s="28" t="s">
        <v>217</v>
      </c>
      <c r="P5" s="28" t="s">
        <v>218</v>
      </c>
      <c r="Q5" s="28" t="s">
        <v>53</v>
      </c>
      <c r="R5" s="54">
        <v>228</v>
      </c>
      <c r="S5" s="59">
        <v>6</v>
      </c>
      <c r="T5" s="54">
        <v>2</v>
      </c>
      <c r="U5" s="54">
        <v>12</v>
      </c>
      <c r="V5" s="54">
        <v>11</v>
      </c>
      <c r="W5" s="81" t="s">
        <v>219</v>
      </c>
      <c r="X5" s="81" t="s">
        <v>2045</v>
      </c>
      <c r="Y5" s="101" t="s">
        <v>2493</v>
      </c>
      <c r="Z5" s="101" t="s">
        <v>2494</v>
      </c>
      <c r="AA5" s="231" t="s">
        <v>2089</v>
      </c>
      <c r="AB5" s="233" t="s">
        <v>2524</v>
      </c>
      <c r="AC5" s="233" t="s">
        <v>2046</v>
      </c>
      <c r="AD5" s="233" t="s">
        <v>2046</v>
      </c>
      <c r="AE5" s="233" t="s">
        <v>2527</v>
      </c>
      <c r="AF5" s="233" t="s">
        <v>2115</v>
      </c>
      <c r="AG5" s="235" t="s">
        <v>220</v>
      </c>
      <c r="AH5" s="236" t="s">
        <v>221</v>
      </c>
      <c r="AI5" s="233" t="s">
        <v>103</v>
      </c>
      <c r="AJ5" s="60"/>
      <c r="AK5" s="60"/>
      <c r="AL5" s="60"/>
      <c r="AM5" s="60"/>
      <c r="AN5" s="60"/>
      <c r="AO5" s="60"/>
      <c r="AP5" s="60"/>
      <c r="AQ5" s="60"/>
      <c r="AS5" s="60"/>
      <c r="AU5" s="60"/>
    </row>
    <row r="6" spans="1:47" ht="72.75" customHeight="1">
      <c r="A6" s="56" t="s">
        <v>222</v>
      </c>
      <c r="B6" s="199" t="s">
        <v>655</v>
      </c>
      <c r="C6" s="56" t="s">
        <v>223</v>
      </c>
      <c r="D6" s="56" t="s">
        <v>183</v>
      </c>
      <c r="E6" s="56" t="s">
        <v>40</v>
      </c>
      <c r="F6" s="53" t="s">
        <v>224</v>
      </c>
      <c r="G6" s="53" t="s">
        <v>225</v>
      </c>
      <c r="H6" s="53" t="s">
        <v>226</v>
      </c>
      <c r="I6" s="54" t="s">
        <v>103</v>
      </c>
      <c r="J6" s="54">
        <v>1</v>
      </c>
      <c r="K6" s="54" t="s">
        <v>592</v>
      </c>
      <c r="L6" s="61" t="s">
        <v>227</v>
      </c>
      <c r="M6" s="28" t="s">
        <v>228</v>
      </c>
      <c r="N6" s="28" t="s">
        <v>229</v>
      </c>
      <c r="O6" s="28" t="s">
        <v>230</v>
      </c>
      <c r="P6" s="28" t="s">
        <v>231</v>
      </c>
      <c r="Q6" s="28" t="s">
        <v>53</v>
      </c>
      <c r="R6" s="53">
        <v>58</v>
      </c>
      <c r="S6" s="59">
        <v>5</v>
      </c>
      <c r="T6" s="54">
        <v>1</v>
      </c>
      <c r="U6" s="54">
        <v>14</v>
      </c>
      <c r="V6" s="54">
        <v>1</v>
      </c>
      <c r="W6" s="81" t="s">
        <v>232</v>
      </c>
      <c r="X6" s="54" t="s">
        <v>233</v>
      </c>
      <c r="Y6" s="54" t="s">
        <v>2491</v>
      </c>
      <c r="Z6" s="101" t="s">
        <v>2493</v>
      </c>
      <c r="AA6" s="237" t="s">
        <v>2060</v>
      </c>
      <c r="AB6" s="232" t="s">
        <v>2135</v>
      </c>
      <c r="AC6" s="232" t="s">
        <v>2504</v>
      </c>
      <c r="AD6" s="237" t="s">
        <v>2137</v>
      </c>
      <c r="AE6" s="237" t="s">
        <v>2528</v>
      </c>
      <c r="AF6" s="233" t="s">
        <v>2138</v>
      </c>
      <c r="AG6" s="232" t="s">
        <v>2059</v>
      </c>
      <c r="AH6" s="238" t="s">
        <v>2058</v>
      </c>
      <c r="AI6" s="233" t="s">
        <v>103</v>
      </c>
      <c r="AJ6" s="60"/>
      <c r="AK6" s="60"/>
      <c r="AL6" s="60"/>
      <c r="AM6" s="60"/>
      <c r="AN6" s="60"/>
      <c r="AO6" s="60"/>
      <c r="AP6" s="60"/>
      <c r="AQ6" s="60"/>
      <c r="AS6" s="60"/>
      <c r="AU6" s="60"/>
    </row>
    <row r="7" spans="1:47" ht="72.75" customHeight="1">
      <c r="A7" s="56" t="s">
        <v>242</v>
      </c>
      <c r="B7" s="199" t="s">
        <v>663</v>
      </c>
      <c r="C7" s="56" t="s">
        <v>223</v>
      </c>
      <c r="D7" s="56" t="s">
        <v>183</v>
      </c>
      <c r="E7" s="56" t="s">
        <v>40</v>
      </c>
      <c r="F7" s="54" t="s">
        <v>243</v>
      </c>
      <c r="G7" s="53" t="s">
        <v>225</v>
      </c>
      <c r="H7" s="54" t="s">
        <v>244</v>
      </c>
      <c r="I7" s="54" t="s">
        <v>103</v>
      </c>
      <c r="J7" s="54">
        <v>3</v>
      </c>
      <c r="K7" s="54" t="s">
        <v>592</v>
      </c>
      <c r="L7" s="58" t="s">
        <v>245</v>
      </c>
      <c r="M7" s="28" t="s">
        <v>246</v>
      </c>
      <c r="N7" s="71" t="s">
        <v>247</v>
      </c>
      <c r="O7" s="28" t="s">
        <v>239</v>
      </c>
      <c r="P7" s="28" t="s">
        <v>248</v>
      </c>
      <c r="Q7" s="28" t="s">
        <v>53</v>
      </c>
      <c r="R7" s="54">
        <v>149</v>
      </c>
      <c r="S7" s="59">
        <v>7</v>
      </c>
      <c r="T7" s="54">
        <v>1</v>
      </c>
      <c r="U7" s="54">
        <v>13</v>
      </c>
      <c r="V7" s="54">
        <v>1</v>
      </c>
      <c r="W7" s="81" t="s">
        <v>249</v>
      </c>
      <c r="X7" s="54" t="s">
        <v>250</v>
      </c>
      <c r="Y7" s="101" t="s">
        <v>2494</v>
      </c>
      <c r="Z7" s="101" t="s">
        <v>2493</v>
      </c>
      <c r="AA7" s="237" t="s">
        <v>2060</v>
      </c>
      <c r="AB7" s="195" t="s">
        <v>2071</v>
      </c>
      <c r="AC7" s="196" t="s">
        <v>2156</v>
      </c>
      <c r="AD7" s="233" t="s">
        <v>2157</v>
      </c>
      <c r="AE7" s="233" t="s">
        <v>610</v>
      </c>
      <c r="AF7" s="233"/>
      <c r="AG7" s="196" t="s">
        <v>2070</v>
      </c>
      <c r="AH7" s="196" t="s">
        <v>2069</v>
      </c>
      <c r="AI7" s="233" t="s">
        <v>103</v>
      </c>
      <c r="AJ7" s="60"/>
      <c r="AK7" s="60"/>
      <c r="AL7" s="60"/>
      <c r="AM7" s="60"/>
      <c r="AN7" s="60"/>
      <c r="AO7" s="60"/>
      <c r="AP7" s="60"/>
      <c r="AQ7" s="60"/>
      <c r="AS7" s="60"/>
      <c r="AU7" s="60"/>
    </row>
    <row r="8" spans="1:47" ht="72.75" customHeight="1">
      <c r="A8" s="56" t="s">
        <v>234</v>
      </c>
      <c r="B8" s="199" t="s">
        <v>656</v>
      </c>
      <c r="C8" s="56" t="s">
        <v>223</v>
      </c>
      <c r="D8" s="56" t="s">
        <v>183</v>
      </c>
      <c r="E8" s="56" t="s">
        <v>39</v>
      </c>
      <c r="F8" s="54" t="s">
        <v>235</v>
      </c>
      <c r="G8" s="53" t="s">
        <v>225</v>
      </c>
      <c r="H8" s="54" t="s">
        <v>236</v>
      </c>
      <c r="I8" s="54" t="s">
        <v>103</v>
      </c>
      <c r="J8" s="54">
        <v>5</v>
      </c>
      <c r="K8" s="54" t="s">
        <v>592</v>
      </c>
      <c r="L8" s="58" t="s">
        <v>237</v>
      </c>
      <c r="M8" s="28" t="s">
        <v>238</v>
      </c>
      <c r="N8" s="29" t="s">
        <v>103</v>
      </c>
      <c r="O8" s="28" t="s">
        <v>239</v>
      </c>
      <c r="P8" s="28" t="s">
        <v>240</v>
      </c>
      <c r="Q8" s="28" t="s">
        <v>53</v>
      </c>
      <c r="R8" s="54">
        <v>103</v>
      </c>
      <c r="S8" s="59">
        <v>7</v>
      </c>
      <c r="T8" s="54">
        <v>1</v>
      </c>
      <c r="U8" s="101">
        <v>14</v>
      </c>
      <c r="V8" s="54">
        <v>1</v>
      </c>
      <c r="W8" s="81" t="s">
        <v>2045</v>
      </c>
      <c r="X8" s="54" t="s">
        <v>241</v>
      </c>
      <c r="Y8" s="101" t="s">
        <v>2494</v>
      </c>
      <c r="Z8" s="101" t="s">
        <v>2493</v>
      </c>
      <c r="AA8" s="237" t="s">
        <v>2060</v>
      </c>
      <c r="AB8" s="195" t="s">
        <v>2154</v>
      </c>
      <c r="AC8" s="239" t="s">
        <v>2046</v>
      </c>
      <c r="AD8" s="239" t="s">
        <v>2046</v>
      </c>
      <c r="AE8" s="239" t="s">
        <v>2529</v>
      </c>
      <c r="AF8" s="239" t="s">
        <v>2155</v>
      </c>
      <c r="AG8" s="196" t="s">
        <v>2068</v>
      </c>
      <c r="AH8" s="196" t="s">
        <v>2067</v>
      </c>
      <c r="AI8" s="233" t="s">
        <v>103</v>
      </c>
      <c r="AJ8" s="60"/>
      <c r="AK8" s="60"/>
      <c r="AL8" s="60"/>
      <c r="AM8" s="60"/>
      <c r="AN8" s="60"/>
      <c r="AO8" s="60"/>
      <c r="AP8" s="60"/>
      <c r="AQ8" s="60"/>
      <c r="AS8" s="60"/>
      <c r="AU8" s="60"/>
    </row>
    <row r="9" spans="1:47" s="52" customFormat="1" ht="72.75" customHeight="1">
      <c r="A9" s="56" t="s">
        <v>251</v>
      </c>
      <c r="B9" s="199" t="s">
        <v>670</v>
      </c>
      <c r="C9" s="56" t="s">
        <v>223</v>
      </c>
      <c r="D9" s="56" t="s">
        <v>183</v>
      </c>
      <c r="E9" s="56" t="s">
        <v>39</v>
      </c>
      <c r="F9" s="54" t="s">
        <v>252</v>
      </c>
      <c r="G9" s="53" t="s">
        <v>225</v>
      </c>
      <c r="H9" s="54" t="s">
        <v>253</v>
      </c>
      <c r="I9" s="54" t="s">
        <v>103</v>
      </c>
      <c r="J9" s="54">
        <v>3</v>
      </c>
      <c r="K9" s="54" t="s">
        <v>592</v>
      </c>
      <c r="L9" s="58" t="s">
        <v>254</v>
      </c>
      <c r="M9" s="28" t="s">
        <v>255</v>
      </c>
      <c r="N9" s="28" t="s">
        <v>256</v>
      </c>
      <c r="O9" s="28" t="s">
        <v>239</v>
      </c>
      <c r="P9" s="28" t="s">
        <v>257</v>
      </c>
      <c r="Q9" s="28" t="s">
        <v>53</v>
      </c>
      <c r="R9" s="54">
        <v>269</v>
      </c>
      <c r="S9" s="59">
        <v>3</v>
      </c>
      <c r="T9" s="54">
        <v>5</v>
      </c>
      <c r="U9" s="54">
        <v>14</v>
      </c>
      <c r="V9" s="54">
        <v>9</v>
      </c>
      <c r="W9" s="81" t="s">
        <v>258</v>
      </c>
      <c r="X9" s="54" t="s">
        <v>259</v>
      </c>
      <c r="Y9" s="101" t="s">
        <v>2493</v>
      </c>
      <c r="Z9" s="101" t="s">
        <v>2493</v>
      </c>
      <c r="AA9" s="196" t="s">
        <v>2060</v>
      </c>
      <c r="AB9" s="195" t="s">
        <v>2159</v>
      </c>
      <c r="AC9" s="197" t="s">
        <v>2161</v>
      </c>
      <c r="AD9" s="233" t="s">
        <v>2046</v>
      </c>
      <c r="AE9" s="233" t="s">
        <v>2530</v>
      </c>
      <c r="AF9" s="233" t="s">
        <v>2160</v>
      </c>
      <c r="AG9" s="196" t="s">
        <v>2077</v>
      </c>
      <c r="AH9" s="196" t="s">
        <v>2076</v>
      </c>
      <c r="AI9" s="233" t="s">
        <v>103</v>
      </c>
    </row>
    <row r="10" spans="1:47" s="52" customFormat="1" ht="72.75" customHeight="1">
      <c r="A10" s="56" t="s">
        <v>260</v>
      </c>
      <c r="B10" s="199" t="s">
        <v>137</v>
      </c>
      <c r="C10" s="56" t="s">
        <v>223</v>
      </c>
      <c r="D10" s="56" t="s">
        <v>183</v>
      </c>
      <c r="E10" s="56" t="s">
        <v>40</v>
      </c>
      <c r="F10" s="54" t="s">
        <v>261</v>
      </c>
      <c r="G10" s="53" t="s">
        <v>225</v>
      </c>
      <c r="H10" s="54" t="s">
        <v>262</v>
      </c>
      <c r="I10" s="54" t="s">
        <v>103</v>
      </c>
      <c r="J10" s="54">
        <v>3</v>
      </c>
      <c r="K10" s="54" t="s">
        <v>592</v>
      </c>
      <c r="L10" s="58" t="s">
        <v>263</v>
      </c>
      <c r="M10" s="28" t="s">
        <v>2199</v>
      </c>
      <c r="N10" s="29" t="s">
        <v>2198</v>
      </c>
      <c r="O10" s="28" t="s">
        <v>264</v>
      </c>
      <c r="P10" s="28" t="s">
        <v>265</v>
      </c>
      <c r="Q10" s="28" t="s">
        <v>53</v>
      </c>
      <c r="R10" s="54">
        <v>126</v>
      </c>
      <c r="S10" s="59">
        <v>8</v>
      </c>
      <c r="T10" s="54">
        <v>5</v>
      </c>
      <c r="U10" s="54">
        <v>15</v>
      </c>
      <c r="V10" s="54">
        <v>7</v>
      </c>
      <c r="W10" s="81" t="s">
        <v>266</v>
      </c>
      <c r="X10" s="54" t="s">
        <v>267</v>
      </c>
      <c r="Y10" s="101" t="s">
        <v>2493</v>
      </c>
      <c r="Z10" s="101" t="s">
        <v>2493</v>
      </c>
      <c r="AA10" s="196" t="s">
        <v>2060</v>
      </c>
      <c r="AB10" s="195" t="s">
        <v>2171</v>
      </c>
      <c r="AC10" s="195" t="s">
        <v>2084</v>
      </c>
      <c r="AD10" s="195" t="s">
        <v>2085</v>
      </c>
      <c r="AE10" s="195" t="s">
        <v>2531</v>
      </c>
      <c r="AF10" s="233" t="s">
        <v>2172</v>
      </c>
      <c r="AG10" s="195" t="s">
        <v>2083</v>
      </c>
      <c r="AH10" s="195" t="s">
        <v>2082</v>
      </c>
      <c r="AI10" s="233" t="s">
        <v>103</v>
      </c>
    </row>
    <row r="11" spans="1:47" s="52" customFormat="1" ht="72.75" customHeight="1">
      <c r="A11" s="56" t="s">
        <v>268</v>
      </c>
      <c r="B11" s="199" t="s">
        <v>680</v>
      </c>
      <c r="C11" s="56" t="s">
        <v>269</v>
      </c>
      <c r="D11" s="56" t="s">
        <v>212</v>
      </c>
      <c r="E11" s="56" t="s">
        <v>39</v>
      </c>
      <c r="F11" s="54" t="s">
        <v>270</v>
      </c>
      <c r="G11" s="54" t="s">
        <v>185</v>
      </c>
      <c r="H11" s="54" t="s">
        <v>271</v>
      </c>
      <c r="I11" s="54" t="s">
        <v>103</v>
      </c>
      <c r="J11" s="56">
        <v>2</v>
      </c>
      <c r="K11" s="56" t="s">
        <v>592</v>
      </c>
      <c r="L11" s="58" t="s">
        <v>272</v>
      </c>
      <c r="M11" s="28" t="s">
        <v>273</v>
      </c>
      <c r="N11" s="28" t="s">
        <v>103</v>
      </c>
      <c r="O11" s="28" t="s">
        <v>239</v>
      </c>
      <c r="P11" s="28" t="s">
        <v>274</v>
      </c>
      <c r="Q11" s="28" t="s">
        <v>275</v>
      </c>
      <c r="R11" s="54">
        <v>232</v>
      </c>
      <c r="S11" s="59">
        <v>9</v>
      </c>
      <c r="T11" s="54">
        <v>6</v>
      </c>
      <c r="U11" s="54">
        <v>15</v>
      </c>
      <c r="V11" s="54">
        <v>27</v>
      </c>
      <c r="W11" s="81" t="s">
        <v>276</v>
      </c>
      <c r="X11" s="54" t="s">
        <v>277</v>
      </c>
      <c r="Y11" s="101" t="s">
        <v>2494</v>
      </c>
      <c r="Z11" s="54" t="s">
        <v>2491</v>
      </c>
      <c r="AA11" s="231" t="s">
        <v>2125</v>
      </c>
      <c r="AB11" s="195" t="s">
        <v>2052</v>
      </c>
      <c r="AC11" s="195" t="s">
        <v>2124</v>
      </c>
      <c r="AD11" s="195" t="s">
        <v>2126</v>
      </c>
      <c r="AE11" s="195" t="s">
        <v>2527</v>
      </c>
      <c r="AF11" s="233" t="s">
        <v>2123</v>
      </c>
      <c r="AG11" s="198" t="s">
        <v>2051</v>
      </c>
      <c r="AH11" s="236" t="s">
        <v>2050</v>
      </c>
      <c r="AI11" s="233" t="s">
        <v>103</v>
      </c>
    </row>
    <row r="12" spans="1:47" s="52" customFormat="1" ht="72.75" customHeight="1">
      <c r="A12" s="56" t="s">
        <v>1743</v>
      </c>
      <c r="B12" s="199" t="s">
        <v>688</v>
      </c>
      <c r="C12" s="56" t="s">
        <v>269</v>
      </c>
      <c r="D12" s="56" t="s">
        <v>212</v>
      </c>
      <c r="E12" s="56" t="s">
        <v>40</v>
      </c>
      <c r="F12" s="54" t="s">
        <v>278</v>
      </c>
      <c r="G12" s="53" t="s">
        <v>225</v>
      </c>
      <c r="H12" s="54" t="s">
        <v>279</v>
      </c>
      <c r="I12" s="54" t="s">
        <v>103</v>
      </c>
      <c r="J12" s="54">
        <v>4</v>
      </c>
      <c r="K12" s="54" t="s">
        <v>592</v>
      </c>
      <c r="L12" s="58" t="s">
        <v>280</v>
      </c>
      <c r="M12" s="28" t="s">
        <v>281</v>
      </c>
      <c r="N12" s="28" t="s">
        <v>282</v>
      </c>
      <c r="O12" s="28" t="s">
        <v>283</v>
      </c>
      <c r="P12" s="28" t="s">
        <v>284</v>
      </c>
      <c r="Q12" s="28" t="s">
        <v>53</v>
      </c>
      <c r="R12" s="54">
        <v>250</v>
      </c>
      <c r="S12" s="59">
        <v>2</v>
      </c>
      <c r="T12" s="54">
        <v>5</v>
      </c>
      <c r="U12" s="54">
        <v>13</v>
      </c>
      <c r="V12" s="54">
        <v>10</v>
      </c>
      <c r="W12" s="81" t="s">
        <v>285</v>
      </c>
      <c r="X12" s="54" t="s">
        <v>286</v>
      </c>
      <c r="Y12" s="101" t="s">
        <v>2494</v>
      </c>
      <c r="Z12" s="101" t="s">
        <v>2494</v>
      </c>
      <c r="AA12" s="231" t="s">
        <v>2149</v>
      </c>
      <c r="AB12" s="195" t="s">
        <v>2150</v>
      </c>
      <c r="AC12" s="195" t="s">
        <v>2151</v>
      </c>
      <c r="AD12" s="233" t="s">
        <v>2152</v>
      </c>
      <c r="AE12" s="233" t="s">
        <v>610</v>
      </c>
      <c r="AF12" s="233" t="s">
        <v>2153</v>
      </c>
      <c r="AG12" s="233" t="s">
        <v>287</v>
      </c>
      <c r="AH12" s="233" t="s">
        <v>288</v>
      </c>
      <c r="AI12" s="233" t="s">
        <v>103</v>
      </c>
    </row>
    <row r="13" spans="1:47" s="52" customFormat="1" ht="72.75" customHeight="1">
      <c r="A13" s="56" t="s">
        <v>289</v>
      </c>
      <c r="B13" s="199" t="s">
        <v>711</v>
      </c>
      <c r="C13" s="56" t="s">
        <v>269</v>
      </c>
      <c r="D13" s="56" t="s">
        <v>212</v>
      </c>
      <c r="E13" s="56" t="s">
        <v>40</v>
      </c>
      <c r="F13" s="54" t="s">
        <v>290</v>
      </c>
      <c r="G13" s="53" t="s">
        <v>225</v>
      </c>
      <c r="H13" s="54" t="s">
        <v>291</v>
      </c>
      <c r="I13" s="54" t="s">
        <v>103</v>
      </c>
      <c r="J13" s="54">
        <v>3</v>
      </c>
      <c r="K13" s="54" t="s">
        <v>592</v>
      </c>
      <c r="L13" s="58" t="s">
        <v>187</v>
      </c>
      <c r="M13" s="28" t="s">
        <v>292</v>
      </c>
      <c r="N13" s="28" t="s">
        <v>293</v>
      </c>
      <c r="O13" s="28" t="s">
        <v>294</v>
      </c>
      <c r="P13" s="28" t="s">
        <v>295</v>
      </c>
      <c r="Q13" s="28" t="s">
        <v>53</v>
      </c>
      <c r="R13" s="54">
        <v>284</v>
      </c>
      <c r="S13" s="59">
        <v>7</v>
      </c>
      <c r="T13" s="54">
        <v>6</v>
      </c>
      <c r="U13" s="54">
        <v>14</v>
      </c>
      <c r="V13" s="54">
        <v>11</v>
      </c>
      <c r="W13" s="81" t="s">
        <v>296</v>
      </c>
      <c r="X13" s="54" t="s">
        <v>297</v>
      </c>
      <c r="Y13" s="54" t="s">
        <v>2491</v>
      </c>
      <c r="Z13" s="101" t="s">
        <v>2494</v>
      </c>
      <c r="AA13" s="237" t="s">
        <v>2139</v>
      </c>
      <c r="AB13" s="232" t="s">
        <v>2063</v>
      </c>
      <c r="AC13" s="233" t="s">
        <v>2064</v>
      </c>
      <c r="AD13" s="233" t="s">
        <v>2046</v>
      </c>
      <c r="AE13" s="233" t="s">
        <v>610</v>
      </c>
      <c r="AF13" s="233" t="s">
        <v>2140</v>
      </c>
      <c r="AG13" s="233" t="s">
        <v>2062</v>
      </c>
      <c r="AH13" s="233" t="s">
        <v>2061</v>
      </c>
      <c r="AI13" s="233" t="s">
        <v>103</v>
      </c>
    </row>
    <row r="14" spans="1:47" s="52" customFormat="1" ht="72.75" customHeight="1">
      <c r="A14" s="56" t="s">
        <v>298</v>
      </c>
      <c r="B14" s="199" t="s">
        <v>715</v>
      </c>
      <c r="C14" s="56" t="s">
        <v>269</v>
      </c>
      <c r="D14" s="56" t="s">
        <v>212</v>
      </c>
      <c r="E14" s="56" t="s">
        <v>31</v>
      </c>
      <c r="F14" s="54" t="s">
        <v>299</v>
      </c>
      <c r="G14" s="53" t="s">
        <v>225</v>
      </c>
      <c r="H14" s="54" t="s">
        <v>300</v>
      </c>
      <c r="I14" s="54" t="s">
        <v>103</v>
      </c>
      <c r="J14" s="54">
        <v>12</v>
      </c>
      <c r="K14" s="54" t="s">
        <v>592</v>
      </c>
      <c r="L14" s="58" t="s">
        <v>187</v>
      </c>
      <c r="M14" s="28" t="s">
        <v>301</v>
      </c>
      <c r="N14" s="72" t="s">
        <v>302</v>
      </c>
      <c r="O14" s="28" t="s">
        <v>303</v>
      </c>
      <c r="P14" s="28" t="s">
        <v>304</v>
      </c>
      <c r="Q14" s="28" t="s">
        <v>305</v>
      </c>
      <c r="R14" s="54">
        <v>559</v>
      </c>
      <c r="S14" s="59">
        <v>4</v>
      </c>
      <c r="T14" s="54">
        <v>6</v>
      </c>
      <c r="U14" s="54">
        <v>17</v>
      </c>
      <c r="V14" s="54">
        <v>20</v>
      </c>
      <c r="W14" s="81" t="s">
        <v>306</v>
      </c>
      <c r="X14" s="54" t="s">
        <v>307</v>
      </c>
      <c r="Y14" s="54" t="s">
        <v>2491</v>
      </c>
      <c r="Z14" s="54" t="s">
        <v>2491</v>
      </c>
      <c r="AA14" s="231" t="s">
        <v>2086</v>
      </c>
      <c r="AB14" s="240" t="s">
        <v>2093</v>
      </c>
      <c r="AC14" s="195" t="s">
        <v>2088</v>
      </c>
      <c r="AD14" s="195" t="s">
        <v>2087</v>
      </c>
      <c r="AE14" s="195" t="s">
        <v>2532</v>
      </c>
      <c r="AF14" s="233" t="s">
        <v>2090</v>
      </c>
      <c r="AG14" s="233" t="s">
        <v>309</v>
      </c>
      <c r="AH14" s="236" t="s">
        <v>310</v>
      </c>
      <c r="AI14" s="241" t="s">
        <v>308</v>
      </c>
    </row>
    <row r="15" spans="1:47" s="52" customFormat="1" ht="72.75" customHeight="1">
      <c r="A15" s="56" t="s">
        <v>311</v>
      </c>
      <c r="B15" s="199" t="s">
        <v>770</v>
      </c>
      <c r="C15" s="56" t="s">
        <v>312</v>
      </c>
      <c r="D15" s="56" t="s">
        <v>212</v>
      </c>
      <c r="E15" s="56" t="s">
        <v>39</v>
      </c>
      <c r="F15" s="54" t="s">
        <v>313</v>
      </c>
      <c r="G15" s="54" t="s">
        <v>314</v>
      </c>
      <c r="H15" s="54" t="s">
        <v>315</v>
      </c>
      <c r="I15" s="54" t="s">
        <v>103</v>
      </c>
      <c r="J15" s="54">
        <v>2</v>
      </c>
      <c r="K15" s="54" t="s">
        <v>592</v>
      </c>
      <c r="L15" s="61" t="s">
        <v>316</v>
      </c>
      <c r="M15" s="28" t="s">
        <v>317</v>
      </c>
      <c r="N15" s="28" t="s">
        <v>103</v>
      </c>
      <c r="O15" s="28" t="s">
        <v>239</v>
      </c>
      <c r="P15" s="28" t="s">
        <v>318</v>
      </c>
      <c r="Q15" s="28" t="s">
        <v>319</v>
      </c>
      <c r="R15" s="54">
        <v>125</v>
      </c>
      <c r="S15" s="59">
        <v>6</v>
      </c>
      <c r="T15" s="54">
        <v>1</v>
      </c>
      <c r="U15" s="54">
        <v>8</v>
      </c>
      <c r="V15" s="54">
        <v>3</v>
      </c>
      <c r="W15" s="81" t="s">
        <v>320</v>
      </c>
      <c r="X15" s="54" t="s">
        <v>321</v>
      </c>
      <c r="Y15" s="54" t="s">
        <v>2492</v>
      </c>
      <c r="Z15" s="54" t="s">
        <v>2491</v>
      </c>
      <c r="AA15" s="195" t="s">
        <v>2143</v>
      </c>
      <c r="AB15" s="195" t="s">
        <v>2144</v>
      </c>
      <c r="AC15" s="233" t="s">
        <v>2146</v>
      </c>
      <c r="AD15" s="233" t="s">
        <v>2147</v>
      </c>
      <c r="AE15" s="233" t="s">
        <v>2533</v>
      </c>
      <c r="AF15" s="233" t="s">
        <v>2148</v>
      </c>
      <c r="AG15" s="233" t="s">
        <v>322</v>
      </c>
      <c r="AH15" s="236" t="s">
        <v>323</v>
      </c>
      <c r="AI15" s="195" t="s">
        <v>2145</v>
      </c>
    </row>
    <row r="16" spans="1:47" s="52" customFormat="1" ht="72.75" customHeight="1">
      <c r="A16" s="56" t="s">
        <v>324</v>
      </c>
      <c r="B16" s="199" t="s">
        <v>2318</v>
      </c>
      <c r="C16" s="56" t="s">
        <v>325</v>
      </c>
      <c r="D16" s="56" t="s">
        <v>212</v>
      </c>
      <c r="E16" s="56" t="s">
        <v>31</v>
      </c>
      <c r="F16" s="54" t="s">
        <v>326</v>
      </c>
      <c r="G16" s="53" t="s">
        <v>225</v>
      </c>
      <c r="H16" s="54" t="s">
        <v>327</v>
      </c>
      <c r="I16" s="54" t="s">
        <v>103</v>
      </c>
      <c r="J16" s="54">
        <v>4</v>
      </c>
      <c r="K16" s="54" t="s">
        <v>592</v>
      </c>
      <c r="L16" s="62" t="s">
        <v>316</v>
      </c>
      <c r="M16" s="28" t="s">
        <v>328</v>
      </c>
      <c r="N16" s="28" t="s">
        <v>329</v>
      </c>
      <c r="O16" s="28" t="s">
        <v>330</v>
      </c>
      <c r="P16" s="28" t="s">
        <v>331</v>
      </c>
      <c r="Q16" s="28" t="s">
        <v>53</v>
      </c>
      <c r="R16" s="54">
        <v>38</v>
      </c>
      <c r="S16" s="59">
        <v>1</v>
      </c>
      <c r="T16" s="54">
        <v>3</v>
      </c>
      <c r="U16" s="54">
        <v>16</v>
      </c>
      <c r="V16" s="54">
        <v>2</v>
      </c>
      <c r="W16" s="81" t="s">
        <v>332</v>
      </c>
      <c r="X16" s="81" t="s">
        <v>2045</v>
      </c>
      <c r="Y16" s="101" t="s">
        <v>2493</v>
      </c>
      <c r="Z16" s="101" t="s">
        <v>2493</v>
      </c>
      <c r="AA16" s="231" t="s">
        <v>2046</v>
      </c>
      <c r="AB16" s="233" t="s">
        <v>2046</v>
      </c>
      <c r="AC16" s="233" t="s">
        <v>2046</v>
      </c>
      <c r="AD16" s="233" t="s">
        <v>2046</v>
      </c>
      <c r="AE16" s="233" t="s">
        <v>2534</v>
      </c>
      <c r="AF16" s="233" t="s">
        <v>2091</v>
      </c>
      <c r="AG16" s="233" t="s">
        <v>333</v>
      </c>
      <c r="AH16" s="233" t="s">
        <v>334</v>
      </c>
      <c r="AI16" s="233" t="s">
        <v>103</v>
      </c>
    </row>
    <row r="17" spans="1:47" s="52" customFormat="1" ht="72.75" customHeight="1">
      <c r="A17" s="56" t="s">
        <v>335</v>
      </c>
      <c r="B17" s="199" t="s">
        <v>613</v>
      </c>
      <c r="C17" s="56" t="s">
        <v>182</v>
      </c>
      <c r="D17" s="56" t="s">
        <v>183</v>
      </c>
      <c r="E17" s="56" t="s">
        <v>1714</v>
      </c>
      <c r="F17" s="54" t="s">
        <v>336</v>
      </c>
      <c r="G17" s="53" t="s">
        <v>225</v>
      </c>
      <c r="H17" s="54" t="s">
        <v>337</v>
      </c>
      <c r="I17" s="53" t="s">
        <v>345</v>
      </c>
      <c r="J17" s="53">
        <v>9</v>
      </c>
      <c r="K17" s="53" t="s">
        <v>610</v>
      </c>
      <c r="L17" s="199" t="s">
        <v>2497</v>
      </c>
      <c r="M17" s="55" t="s">
        <v>338</v>
      </c>
      <c r="N17" s="126" t="s">
        <v>2191</v>
      </c>
      <c r="O17" s="55" t="s">
        <v>339</v>
      </c>
      <c r="P17" s="55" t="s">
        <v>340</v>
      </c>
      <c r="Q17" s="28" t="s">
        <v>341</v>
      </c>
      <c r="R17" s="54">
        <v>212</v>
      </c>
      <c r="S17" s="59">
        <v>9</v>
      </c>
      <c r="T17" s="54">
        <v>6</v>
      </c>
      <c r="U17" s="54">
        <v>19</v>
      </c>
      <c r="V17" s="54">
        <v>37</v>
      </c>
      <c r="W17" s="81" t="s">
        <v>342</v>
      </c>
      <c r="X17" s="54" t="s">
        <v>343</v>
      </c>
      <c r="Y17" s="54" t="s">
        <v>2491</v>
      </c>
      <c r="Z17" s="54" t="s">
        <v>2492</v>
      </c>
      <c r="AA17" s="231" t="s">
        <v>2120</v>
      </c>
      <c r="AB17" s="232" t="s">
        <v>2119</v>
      </c>
      <c r="AC17" s="232" t="s">
        <v>2049</v>
      </c>
      <c r="AD17" s="232" t="s">
        <v>2121</v>
      </c>
      <c r="AE17" s="232" t="s">
        <v>2535</v>
      </c>
      <c r="AF17" s="233" t="s">
        <v>2118</v>
      </c>
      <c r="AG17" s="233" t="s">
        <v>346</v>
      </c>
      <c r="AH17" s="236" t="s">
        <v>347</v>
      </c>
      <c r="AI17" s="233" t="s">
        <v>344</v>
      </c>
    </row>
    <row r="18" spans="1:47" s="52" customFormat="1" ht="72.75" customHeight="1">
      <c r="A18" s="56" t="s">
        <v>348</v>
      </c>
      <c r="B18" s="199" t="s">
        <v>651</v>
      </c>
      <c r="C18" s="56" t="s">
        <v>211</v>
      </c>
      <c r="D18" s="56" t="s">
        <v>212</v>
      </c>
      <c r="E18" s="56" t="s">
        <v>31</v>
      </c>
      <c r="F18" s="54" t="s">
        <v>349</v>
      </c>
      <c r="G18" s="53" t="s">
        <v>225</v>
      </c>
      <c r="H18" s="54" t="s">
        <v>350</v>
      </c>
      <c r="I18" s="53" t="s">
        <v>345</v>
      </c>
      <c r="J18" s="53"/>
      <c r="K18" s="53" t="s">
        <v>610</v>
      </c>
      <c r="L18" s="54" t="s">
        <v>351</v>
      </c>
      <c r="M18" s="28" t="s">
        <v>352</v>
      </c>
      <c r="N18" s="28" t="s">
        <v>2192</v>
      </c>
      <c r="O18" s="28" t="s">
        <v>353</v>
      </c>
      <c r="P18" s="28" t="s">
        <v>354</v>
      </c>
      <c r="Q18" s="28" t="s">
        <v>341</v>
      </c>
      <c r="R18" s="54">
        <v>109</v>
      </c>
      <c r="S18" s="59">
        <v>13</v>
      </c>
      <c r="T18" s="54">
        <v>6</v>
      </c>
      <c r="U18" s="54">
        <v>15</v>
      </c>
      <c r="V18" s="54">
        <v>4</v>
      </c>
      <c r="W18" s="81" t="s">
        <v>355</v>
      </c>
      <c r="X18" s="54" t="s">
        <v>356</v>
      </c>
      <c r="Y18" s="54" t="s">
        <v>2491</v>
      </c>
      <c r="Z18" s="54" t="s">
        <v>2492</v>
      </c>
      <c r="AA18" s="231" t="s">
        <v>2120</v>
      </c>
      <c r="AB18" s="232" t="s">
        <v>2119</v>
      </c>
      <c r="AC18" s="232" t="s">
        <v>2049</v>
      </c>
      <c r="AD18" s="232" t="s">
        <v>2121</v>
      </c>
      <c r="AE18" s="232" t="s">
        <v>2535</v>
      </c>
      <c r="AF18" s="233" t="s">
        <v>2118</v>
      </c>
      <c r="AG18" s="233" t="s">
        <v>346</v>
      </c>
      <c r="AH18" s="236" t="s">
        <v>347</v>
      </c>
      <c r="AI18" s="233" t="s">
        <v>357</v>
      </c>
    </row>
    <row r="19" spans="1:47" s="52" customFormat="1" ht="72.75" customHeight="1">
      <c r="A19" s="56" t="s">
        <v>358</v>
      </c>
      <c r="B19" s="199" t="s">
        <v>718</v>
      </c>
      <c r="C19" s="56" t="s">
        <v>269</v>
      </c>
      <c r="D19" s="56" t="s">
        <v>212</v>
      </c>
      <c r="E19" s="56" t="s">
        <v>1714</v>
      </c>
      <c r="F19" s="54" t="s">
        <v>359</v>
      </c>
      <c r="G19" s="53" t="s">
        <v>225</v>
      </c>
      <c r="H19" s="54" t="s">
        <v>360</v>
      </c>
      <c r="I19" s="53" t="s">
        <v>345</v>
      </c>
      <c r="J19" s="53"/>
      <c r="K19" s="53" t="s">
        <v>592</v>
      </c>
      <c r="L19" s="58" t="s">
        <v>254</v>
      </c>
      <c r="M19" s="28" t="s">
        <v>361</v>
      </c>
      <c r="N19" s="28" t="s">
        <v>362</v>
      </c>
      <c r="O19" s="28" t="s">
        <v>363</v>
      </c>
      <c r="P19" s="28" t="s">
        <v>364</v>
      </c>
      <c r="Q19" s="28" t="s">
        <v>365</v>
      </c>
      <c r="R19" s="54">
        <v>238</v>
      </c>
      <c r="S19" s="59">
        <v>2</v>
      </c>
      <c r="T19" s="54">
        <v>5</v>
      </c>
      <c r="U19" s="54">
        <v>17</v>
      </c>
      <c r="V19" s="54">
        <v>14</v>
      </c>
      <c r="W19" s="81" t="s">
        <v>366</v>
      </c>
      <c r="X19" s="54" t="s">
        <v>367</v>
      </c>
      <c r="Y19" s="54" t="s">
        <v>2491</v>
      </c>
      <c r="Z19" s="54" t="s">
        <v>2492</v>
      </c>
      <c r="AA19" s="231" t="s">
        <v>2120</v>
      </c>
      <c r="AB19" s="232" t="s">
        <v>2119</v>
      </c>
      <c r="AC19" s="232" t="s">
        <v>2049</v>
      </c>
      <c r="AD19" s="232" t="s">
        <v>2121</v>
      </c>
      <c r="AE19" s="232" t="s">
        <v>2535</v>
      </c>
      <c r="AF19" s="233" t="s">
        <v>2118</v>
      </c>
      <c r="AG19" s="233" t="s">
        <v>346</v>
      </c>
      <c r="AH19" s="236" t="s">
        <v>347</v>
      </c>
      <c r="AI19" s="232" t="s">
        <v>2122</v>
      </c>
    </row>
    <row r="20" spans="1:47" s="52" customFormat="1" ht="72.75" customHeight="1">
      <c r="A20" s="56" t="s">
        <v>368</v>
      </c>
      <c r="B20" s="199" t="s">
        <v>726</v>
      </c>
      <c r="C20" s="56" t="s">
        <v>325</v>
      </c>
      <c r="D20" s="56" t="s">
        <v>212</v>
      </c>
      <c r="E20" s="56" t="s">
        <v>31</v>
      </c>
      <c r="F20" s="54" t="s">
        <v>369</v>
      </c>
      <c r="G20" s="53" t="s">
        <v>225</v>
      </c>
      <c r="H20" s="54" t="s">
        <v>350</v>
      </c>
      <c r="I20" s="53" t="s">
        <v>345</v>
      </c>
      <c r="J20" s="53"/>
      <c r="K20" s="53" t="s">
        <v>610</v>
      </c>
      <c r="L20" s="54" t="s">
        <v>351</v>
      </c>
      <c r="M20" s="28" t="s">
        <v>370</v>
      </c>
      <c r="N20" s="28" t="s">
        <v>103</v>
      </c>
      <c r="O20" s="28" t="s">
        <v>371</v>
      </c>
      <c r="P20" s="28" t="s">
        <v>372</v>
      </c>
      <c r="Q20" s="28" t="s">
        <v>53</v>
      </c>
      <c r="R20" s="54">
        <v>51</v>
      </c>
      <c r="S20" s="59">
        <v>2</v>
      </c>
      <c r="T20" s="54">
        <v>6</v>
      </c>
      <c r="U20" s="54">
        <v>16</v>
      </c>
      <c r="V20" s="54">
        <v>5</v>
      </c>
      <c r="W20" s="81" t="s">
        <v>373</v>
      </c>
      <c r="X20" s="54" t="s">
        <v>374</v>
      </c>
      <c r="Y20" s="54" t="s">
        <v>2491</v>
      </c>
      <c r="Z20" s="54" t="s">
        <v>2492</v>
      </c>
      <c r="AA20" s="231" t="s">
        <v>2120</v>
      </c>
      <c r="AB20" s="232" t="s">
        <v>2119</v>
      </c>
      <c r="AC20" s="232" t="s">
        <v>2049</v>
      </c>
      <c r="AD20" s="232" t="s">
        <v>2121</v>
      </c>
      <c r="AE20" s="232" t="s">
        <v>2535</v>
      </c>
      <c r="AF20" s="233" t="s">
        <v>2118</v>
      </c>
      <c r="AG20" s="233" t="s">
        <v>346</v>
      </c>
      <c r="AH20" s="236" t="s">
        <v>347</v>
      </c>
      <c r="AI20" s="232" t="s">
        <v>2122</v>
      </c>
    </row>
    <row r="21" spans="1:47" s="52" customFormat="1" ht="72.75" customHeight="1">
      <c r="A21" s="56" t="s">
        <v>375</v>
      </c>
      <c r="B21" s="199" t="s">
        <v>692</v>
      </c>
      <c r="C21" s="56" t="s">
        <v>269</v>
      </c>
      <c r="D21" s="56" t="s">
        <v>212</v>
      </c>
      <c r="E21" s="56" t="s">
        <v>1745</v>
      </c>
      <c r="F21" s="54" t="s">
        <v>376</v>
      </c>
      <c r="G21" s="53" t="s">
        <v>225</v>
      </c>
      <c r="H21" s="54" t="s">
        <v>377</v>
      </c>
      <c r="I21" s="53" t="s">
        <v>383</v>
      </c>
      <c r="J21" s="53">
        <v>4</v>
      </c>
      <c r="K21" s="53" t="s">
        <v>592</v>
      </c>
      <c r="L21" s="58" t="s">
        <v>272</v>
      </c>
      <c r="M21" s="28" t="s">
        <v>378</v>
      </c>
      <c r="N21" s="28" t="s">
        <v>2193</v>
      </c>
      <c r="O21" s="28" t="s">
        <v>379</v>
      </c>
      <c r="P21" s="28" t="s">
        <v>380</v>
      </c>
      <c r="Q21" s="28" t="s">
        <v>53</v>
      </c>
      <c r="R21" s="54">
        <v>301</v>
      </c>
      <c r="S21" s="59">
        <v>10</v>
      </c>
      <c r="T21" s="54">
        <v>5</v>
      </c>
      <c r="U21" s="54">
        <v>14</v>
      </c>
      <c r="V21" s="54">
        <v>15</v>
      </c>
      <c r="W21" s="81" t="s">
        <v>381</v>
      </c>
      <c r="X21" s="54" t="s">
        <v>382</v>
      </c>
      <c r="Y21" s="54" t="s">
        <v>2173</v>
      </c>
      <c r="Z21" s="54" t="s">
        <v>2173</v>
      </c>
      <c r="AA21" s="233" t="s">
        <v>2173</v>
      </c>
      <c r="AB21" s="233" t="s">
        <v>2173</v>
      </c>
      <c r="AC21" s="233" t="s">
        <v>2173</v>
      </c>
      <c r="AD21" s="233" t="s">
        <v>2173</v>
      </c>
      <c r="AE21" s="233" t="s">
        <v>2173</v>
      </c>
      <c r="AF21" s="233" t="s">
        <v>2173</v>
      </c>
      <c r="AG21" s="233" t="s">
        <v>2173</v>
      </c>
      <c r="AH21" s="233" t="s">
        <v>2173</v>
      </c>
      <c r="AI21" s="233" t="s">
        <v>103</v>
      </c>
    </row>
    <row r="22" spans="1:47" s="52" customFormat="1" ht="72.75" customHeight="1">
      <c r="A22" s="56" t="s">
        <v>384</v>
      </c>
      <c r="B22" s="199" t="s">
        <v>700</v>
      </c>
      <c r="C22" s="56" t="s">
        <v>269</v>
      </c>
      <c r="D22" s="56" t="s">
        <v>212</v>
      </c>
      <c r="E22" s="56" t="s">
        <v>1745</v>
      </c>
      <c r="F22" s="54" t="s">
        <v>385</v>
      </c>
      <c r="G22" s="53" t="s">
        <v>225</v>
      </c>
      <c r="H22" s="54" t="s">
        <v>377</v>
      </c>
      <c r="I22" s="53" t="s">
        <v>383</v>
      </c>
      <c r="J22" s="53"/>
      <c r="K22" s="53" t="s">
        <v>592</v>
      </c>
      <c r="L22" s="58" t="s">
        <v>272</v>
      </c>
      <c r="M22" s="28" t="s">
        <v>386</v>
      </c>
      <c r="N22" s="28" t="s">
        <v>2194</v>
      </c>
      <c r="O22" s="28" t="s">
        <v>387</v>
      </c>
      <c r="P22" s="28" t="s">
        <v>388</v>
      </c>
      <c r="Q22" s="28" t="s">
        <v>389</v>
      </c>
      <c r="R22" s="54">
        <v>376</v>
      </c>
      <c r="S22" s="59">
        <v>2</v>
      </c>
      <c r="T22" s="54">
        <v>6</v>
      </c>
      <c r="U22" s="54">
        <v>14</v>
      </c>
      <c r="V22" s="54">
        <v>15</v>
      </c>
      <c r="W22" s="81" t="s">
        <v>390</v>
      </c>
      <c r="X22" s="54" t="s">
        <v>391</v>
      </c>
      <c r="Y22" s="54" t="s">
        <v>2173</v>
      </c>
      <c r="Z22" s="54" t="s">
        <v>2173</v>
      </c>
      <c r="AA22" s="233" t="s">
        <v>2173</v>
      </c>
      <c r="AB22" s="233" t="s">
        <v>2173</v>
      </c>
      <c r="AC22" s="233" t="s">
        <v>2173</v>
      </c>
      <c r="AD22" s="233" t="s">
        <v>2173</v>
      </c>
      <c r="AE22" s="233" t="s">
        <v>2173</v>
      </c>
      <c r="AF22" s="233" t="s">
        <v>2173</v>
      </c>
      <c r="AG22" s="233" t="s">
        <v>2173</v>
      </c>
      <c r="AH22" s="233" t="s">
        <v>2173</v>
      </c>
      <c r="AI22" s="233" t="s">
        <v>103</v>
      </c>
    </row>
    <row r="23" spans="1:47" s="52" customFormat="1" ht="72.75" customHeight="1">
      <c r="A23" s="56" t="s">
        <v>392</v>
      </c>
      <c r="B23" s="199" t="s">
        <v>2316</v>
      </c>
      <c r="C23" s="56" t="s">
        <v>223</v>
      </c>
      <c r="D23" s="56" t="s">
        <v>183</v>
      </c>
      <c r="E23" s="56" t="s">
        <v>31</v>
      </c>
      <c r="F23" s="54" t="s">
        <v>393</v>
      </c>
      <c r="G23" s="53" t="s">
        <v>225</v>
      </c>
      <c r="H23" s="54" t="s">
        <v>394</v>
      </c>
      <c r="I23" s="53" t="s">
        <v>399</v>
      </c>
      <c r="J23" s="53">
        <v>8</v>
      </c>
      <c r="K23" s="53" t="s">
        <v>592</v>
      </c>
      <c r="L23" s="58" t="s">
        <v>395</v>
      </c>
      <c r="M23" s="28" t="s">
        <v>396</v>
      </c>
      <c r="N23" s="28" t="s">
        <v>103</v>
      </c>
      <c r="O23" s="28" t="s">
        <v>239</v>
      </c>
      <c r="P23" s="28" t="s">
        <v>397</v>
      </c>
      <c r="Q23" s="28" t="s">
        <v>53</v>
      </c>
      <c r="R23" s="54">
        <v>113</v>
      </c>
      <c r="S23" s="59">
        <v>6</v>
      </c>
      <c r="T23" s="54">
        <v>6</v>
      </c>
      <c r="U23" s="54">
        <v>16</v>
      </c>
      <c r="V23" s="54">
        <v>3</v>
      </c>
      <c r="W23" s="81" t="s">
        <v>398</v>
      </c>
      <c r="X23" s="81" t="s">
        <v>2045</v>
      </c>
      <c r="Y23" s="54" t="s">
        <v>2173</v>
      </c>
      <c r="Z23" s="54" t="s">
        <v>2173</v>
      </c>
      <c r="AA23" s="233" t="s">
        <v>2173</v>
      </c>
      <c r="AB23" s="233" t="s">
        <v>2173</v>
      </c>
      <c r="AC23" s="233" t="s">
        <v>2173</v>
      </c>
      <c r="AD23" s="233" t="s">
        <v>2173</v>
      </c>
      <c r="AE23" s="233" t="s">
        <v>2173</v>
      </c>
      <c r="AF23" s="233" t="s">
        <v>2173</v>
      </c>
      <c r="AG23" s="233" t="s">
        <v>2173</v>
      </c>
      <c r="AH23" s="233" t="s">
        <v>2173</v>
      </c>
      <c r="AI23" s="233" t="s">
        <v>103</v>
      </c>
    </row>
    <row r="24" spans="1:47" s="52" customFormat="1" ht="72.75" customHeight="1">
      <c r="A24" s="56" t="s">
        <v>400</v>
      </c>
      <c r="B24" s="199" t="s">
        <v>668</v>
      </c>
      <c r="C24" s="56" t="s">
        <v>223</v>
      </c>
      <c r="D24" s="56" t="s">
        <v>183</v>
      </c>
      <c r="E24" s="56" t="s">
        <v>31</v>
      </c>
      <c r="F24" s="54" t="s">
        <v>401</v>
      </c>
      <c r="G24" s="53" t="s">
        <v>225</v>
      </c>
      <c r="H24" s="54" t="s">
        <v>262</v>
      </c>
      <c r="I24" s="53" t="s">
        <v>399</v>
      </c>
      <c r="J24" s="53"/>
      <c r="K24" s="53" t="s">
        <v>592</v>
      </c>
      <c r="L24" s="58" t="s">
        <v>263</v>
      </c>
      <c r="M24" s="28" t="s">
        <v>402</v>
      </c>
      <c r="N24" s="28" t="s">
        <v>403</v>
      </c>
      <c r="O24" s="28" t="s">
        <v>239</v>
      </c>
      <c r="P24" s="28" t="s">
        <v>404</v>
      </c>
      <c r="Q24" s="28" t="s">
        <v>53</v>
      </c>
      <c r="R24" s="54">
        <v>76</v>
      </c>
      <c r="S24" s="59">
        <v>5</v>
      </c>
      <c r="T24" s="54">
        <v>2</v>
      </c>
      <c r="U24" s="54">
        <v>16</v>
      </c>
      <c r="V24" s="54">
        <v>3</v>
      </c>
      <c r="W24" s="81" t="s">
        <v>398</v>
      </c>
      <c r="X24" s="54" t="s">
        <v>405</v>
      </c>
      <c r="Y24" s="54" t="s">
        <v>2173</v>
      </c>
      <c r="Z24" s="54" t="s">
        <v>2173</v>
      </c>
      <c r="AA24" s="233" t="s">
        <v>2173</v>
      </c>
      <c r="AB24" s="233" t="s">
        <v>2173</v>
      </c>
      <c r="AC24" s="233" t="s">
        <v>2173</v>
      </c>
      <c r="AD24" s="233" t="s">
        <v>2173</v>
      </c>
      <c r="AE24" s="233" t="s">
        <v>2173</v>
      </c>
      <c r="AF24" s="233" t="s">
        <v>2173</v>
      </c>
      <c r="AG24" s="233" t="s">
        <v>2173</v>
      </c>
      <c r="AH24" s="233" t="s">
        <v>2173</v>
      </c>
      <c r="AI24" s="233" t="s">
        <v>103</v>
      </c>
    </row>
    <row r="25" spans="1:47" ht="72.75" customHeight="1">
      <c r="A25" s="56" t="s">
        <v>416</v>
      </c>
      <c r="B25" s="199" t="s">
        <v>728</v>
      </c>
      <c r="C25" s="56" t="s">
        <v>325</v>
      </c>
      <c r="D25" s="56" t="s">
        <v>212</v>
      </c>
      <c r="E25" s="56" t="s">
        <v>1718</v>
      </c>
      <c r="F25" s="54" t="s">
        <v>417</v>
      </c>
      <c r="G25" s="53" t="s">
        <v>225</v>
      </c>
      <c r="H25" s="54" t="s">
        <v>418</v>
      </c>
      <c r="I25" s="53" t="s">
        <v>399</v>
      </c>
      <c r="K25" s="53" t="s">
        <v>610</v>
      </c>
      <c r="L25" s="54" t="s">
        <v>351</v>
      </c>
      <c r="M25" s="28" t="s">
        <v>419</v>
      </c>
      <c r="N25" s="28" t="s">
        <v>420</v>
      </c>
      <c r="O25" s="28" t="s">
        <v>421</v>
      </c>
      <c r="P25" s="28" t="s">
        <v>422</v>
      </c>
      <c r="Q25" s="28" t="s">
        <v>53</v>
      </c>
      <c r="R25" s="54">
        <v>82</v>
      </c>
      <c r="S25" s="59">
        <v>0</v>
      </c>
      <c r="T25" s="54">
        <v>3</v>
      </c>
      <c r="U25" s="54">
        <v>16</v>
      </c>
      <c r="V25" s="54">
        <v>2</v>
      </c>
      <c r="W25" s="81" t="s">
        <v>423</v>
      </c>
      <c r="X25" s="54" t="s">
        <v>424</v>
      </c>
      <c r="Y25" s="54" t="s">
        <v>2173</v>
      </c>
      <c r="Z25" s="54" t="s">
        <v>2173</v>
      </c>
      <c r="AA25" s="233" t="s">
        <v>2173</v>
      </c>
      <c r="AB25" s="233" t="s">
        <v>2173</v>
      </c>
      <c r="AC25" s="233" t="s">
        <v>2173</v>
      </c>
      <c r="AD25" s="233" t="s">
        <v>2173</v>
      </c>
      <c r="AE25" s="233" t="s">
        <v>2173</v>
      </c>
      <c r="AF25" s="233" t="s">
        <v>2173</v>
      </c>
      <c r="AG25" s="233" t="s">
        <v>2173</v>
      </c>
      <c r="AH25" s="233" t="s">
        <v>2173</v>
      </c>
      <c r="AI25" s="242" t="s">
        <v>415</v>
      </c>
      <c r="AJ25" s="60"/>
      <c r="AK25" s="60"/>
      <c r="AL25" s="60"/>
      <c r="AM25" s="60"/>
      <c r="AN25" s="60"/>
      <c r="AO25" s="60"/>
      <c r="AP25" s="60"/>
      <c r="AQ25" s="60"/>
      <c r="AS25" s="60"/>
      <c r="AU25" s="60"/>
    </row>
    <row r="26" spans="1:47" ht="72.75" customHeight="1">
      <c r="A26" s="54" t="s">
        <v>406</v>
      </c>
      <c r="B26" s="199" t="s">
        <v>722</v>
      </c>
      <c r="C26" s="54" t="s">
        <v>269</v>
      </c>
      <c r="D26" s="54" t="s">
        <v>212</v>
      </c>
      <c r="E26" s="54" t="s">
        <v>31</v>
      </c>
      <c r="F26" s="54" t="s">
        <v>407</v>
      </c>
      <c r="G26" s="53" t="s">
        <v>225</v>
      </c>
      <c r="H26" s="63" t="s">
        <v>408</v>
      </c>
      <c r="I26" s="53" t="s">
        <v>399</v>
      </c>
      <c r="K26" s="53" t="s">
        <v>610</v>
      </c>
      <c r="L26" s="54" t="s">
        <v>351</v>
      </c>
      <c r="M26" s="28" t="s">
        <v>409</v>
      </c>
      <c r="N26" s="28" t="s">
        <v>410</v>
      </c>
      <c r="O26" s="28" t="s">
        <v>411</v>
      </c>
      <c r="P26" s="28" t="s">
        <v>412</v>
      </c>
      <c r="Q26" s="28" t="s">
        <v>53</v>
      </c>
      <c r="R26" s="54">
        <v>173</v>
      </c>
      <c r="S26" s="59">
        <v>8</v>
      </c>
      <c r="T26" s="54">
        <v>1</v>
      </c>
      <c r="U26" s="54">
        <v>16</v>
      </c>
      <c r="V26" s="54">
        <v>9</v>
      </c>
      <c r="W26" s="81" t="s">
        <v>413</v>
      </c>
      <c r="X26" s="54" t="s">
        <v>414</v>
      </c>
      <c r="Y26" s="54" t="s">
        <v>2173</v>
      </c>
      <c r="Z26" s="54" t="s">
        <v>2173</v>
      </c>
      <c r="AA26" s="233" t="s">
        <v>2173</v>
      </c>
      <c r="AB26" s="233" t="s">
        <v>2173</v>
      </c>
      <c r="AC26" s="233" t="s">
        <v>2173</v>
      </c>
      <c r="AD26" s="233" t="s">
        <v>2173</v>
      </c>
      <c r="AE26" s="233" t="s">
        <v>2173</v>
      </c>
      <c r="AF26" s="233" t="s">
        <v>2173</v>
      </c>
      <c r="AG26" s="233" t="s">
        <v>2173</v>
      </c>
      <c r="AH26" s="233" t="s">
        <v>2173</v>
      </c>
      <c r="AI26" s="242" t="s">
        <v>415</v>
      </c>
      <c r="AJ26" s="60"/>
      <c r="AK26" s="60"/>
      <c r="AL26" s="60"/>
      <c r="AM26" s="60"/>
      <c r="AN26" s="60"/>
      <c r="AO26" s="60"/>
      <c r="AP26" s="60"/>
      <c r="AQ26" s="60"/>
      <c r="AS26" s="60"/>
      <c r="AU26" s="60"/>
    </row>
    <row r="27" spans="1:47" ht="72.75" customHeight="1">
      <c r="A27" s="56" t="s">
        <v>425</v>
      </c>
      <c r="B27" s="199" t="s">
        <v>2315</v>
      </c>
      <c r="C27" s="56" t="s">
        <v>223</v>
      </c>
      <c r="D27" s="56" t="s">
        <v>183</v>
      </c>
      <c r="E27" s="56" t="s">
        <v>31</v>
      </c>
      <c r="F27" s="54" t="s">
        <v>426</v>
      </c>
      <c r="G27" s="53" t="s">
        <v>225</v>
      </c>
      <c r="H27" s="54" t="s">
        <v>427</v>
      </c>
      <c r="I27" s="53" t="s">
        <v>433</v>
      </c>
      <c r="J27" s="53">
        <v>11</v>
      </c>
      <c r="K27" s="53" t="s">
        <v>592</v>
      </c>
      <c r="L27" s="58" t="s">
        <v>428</v>
      </c>
      <c r="M27" s="28" t="s">
        <v>429</v>
      </c>
      <c r="N27" s="28" t="s">
        <v>103</v>
      </c>
      <c r="O27" s="28" t="s">
        <v>430</v>
      </c>
      <c r="P27" s="28" t="s">
        <v>431</v>
      </c>
      <c r="Q27" s="28" t="s">
        <v>53</v>
      </c>
      <c r="R27" s="54">
        <v>61</v>
      </c>
      <c r="S27" s="59">
        <v>4</v>
      </c>
      <c r="T27" s="54">
        <v>1</v>
      </c>
      <c r="U27" s="54">
        <v>15</v>
      </c>
      <c r="V27" s="54">
        <v>1</v>
      </c>
      <c r="W27" s="81" t="s">
        <v>432</v>
      </c>
      <c r="X27" s="81" t="s">
        <v>2045</v>
      </c>
      <c r="Y27" s="101" t="s">
        <v>2493</v>
      </c>
      <c r="Z27" s="101" t="s">
        <v>2493</v>
      </c>
      <c r="AA27" s="231" t="s">
        <v>2046</v>
      </c>
      <c r="AB27" s="195" t="s">
        <v>2111</v>
      </c>
      <c r="AC27" s="195" t="s">
        <v>2113</v>
      </c>
      <c r="AD27" s="195" t="s">
        <v>2114</v>
      </c>
      <c r="AE27" s="195" t="s">
        <v>2536</v>
      </c>
      <c r="AF27" s="233" t="s">
        <v>2116</v>
      </c>
      <c r="AG27" s="233" t="s">
        <v>434</v>
      </c>
      <c r="AH27" s="236" t="s">
        <v>435</v>
      </c>
      <c r="AI27" s="233" t="s">
        <v>103</v>
      </c>
      <c r="AJ27" s="60"/>
      <c r="AK27" s="60"/>
      <c r="AL27" s="60"/>
      <c r="AM27" s="60"/>
      <c r="AN27" s="60"/>
      <c r="AO27" s="60"/>
      <c r="AP27" s="60"/>
      <c r="AQ27" s="60"/>
      <c r="AS27" s="60"/>
      <c r="AU27" s="60"/>
    </row>
    <row r="28" spans="1:47" ht="72.75" customHeight="1">
      <c r="A28" s="56" t="s">
        <v>436</v>
      </c>
      <c r="B28" s="199" t="s">
        <v>725</v>
      </c>
      <c r="C28" s="56" t="s">
        <v>269</v>
      </c>
      <c r="D28" s="56" t="s">
        <v>212</v>
      </c>
      <c r="E28" s="56" t="s">
        <v>31</v>
      </c>
      <c r="F28" s="53" t="s">
        <v>437</v>
      </c>
      <c r="G28" s="53" t="s">
        <v>225</v>
      </c>
      <c r="H28" s="53" t="s">
        <v>438</v>
      </c>
      <c r="I28" s="53" t="s">
        <v>433</v>
      </c>
      <c r="K28" s="53" t="s">
        <v>592</v>
      </c>
      <c r="L28" s="57" t="s">
        <v>439</v>
      </c>
      <c r="M28" s="28" t="s">
        <v>440</v>
      </c>
      <c r="N28" s="28" t="s">
        <v>441</v>
      </c>
      <c r="O28" s="28" t="s">
        <v>442</v>
      </c>
      <c r="P28" s="28" t="s">
        <v>443</v>
      </c>
      <c r="Q28" s="28" t="s">
        <v>53</v>
      </c>
      <c r="R28" s="53">
        <v>84</v>
      </c>
      <c r="S28" s="59">
        <v>11</v>
      </c>
      <c r="T28" s="54">
        <v>6</v>
      </c>
      <c r="U28" s="54">
        <v>15</v>
      </c>
      <c r="V28" s="54">
        <v>13</v>
      </c>
      <c r="W28" s="81" t="s">
        <v>2248</v>
      </c>
      <c r="X28" s="54" t="s">
        <v>444</v>
      </c>
      <c r="Y28" s="101" t="s">
        <v>2493</v>
      </c>
      <c r="Z28" s="101" t="s">
        <v>2493</v>
      </c>
      <c r="AA28" s="231" t="s">
        <v>2046</v>
      </c>
      <c r="AB28" s="195" t="s">
        <v>2112</v>
      </c>
      <c r="AC28" s="195" t="s">
        <v>2113</v>
      </c>
      <c r="AD28" s="195" t="s">
        <v>2114</v>
      </c>
      <c r="AE28" s="195" t="s">
        <v>2536</v>
      </c>
      <c r="AF28" s="233" t="s">
        <v>2116</v>
      </c>
      <c r="AG28" s="233" t="s">
        <v>434</v>
      </c>
      <c r="AH28" s="236" t="s">
        <v>435</v>
      </c>
      <c r="AI28" s="233" t="s">
        <v>103</v>
      </c>
      <c r="AJ28" s="60"/>
      <c r="AK28" s="60"/>
      <c r="AL28" s="60"/>
      <c r="AM28" s="60"/>
      <c r="AN28" s="60"/>
      <c r="AO28" s="60"/>
      <c r="AP28" s="60"/>
      <c r="AQ28" s="60"/>
      <c r="AS28" s="60"/>
      <c r="AU28" s="60"/>
    </row>
    <row r="29" spans="1:47" ht="72.75" customHeight="1">
      <c r="A29" s="56" t="s">
        <v>445</v>
      </c>
      <c r="B29" s="199" t="s">
        <v>2322</v>
      </c>
      <c r="C29" s="56" t="s">
        <v>182</v>
      </c>
      <c r="D29" s="56" t="s">
        <v>183</v>
      </c>
      <c r="E29" s="56" t="s">
        <v>40</v>
      </c>
      <c r="F29" s="54" t="s">
        <v>446</v>
      </c>
      <c r="G29" s="53" t="s">
        <v>225</v>
      </c>
      <c r="H29" s="54" t="s">
        <v>447</v>
      </c>
      <c r="I29" s="54" t="s">
        <v>454</v>
      </c>
      <c r="J29" s="54">
        <v>23</v>
      </c>
      <c r="K29" s="54" t="s">
        <v>592</v>
      </c>
      <c r="L29" s="61" t="s">
        <v>215</v>
      </c>
      <c r="M29" s="28" t="s">
        <v>448</v>
      </c>
      <c r="N29" s="28" t="s">
        <v>449</v>
      </c>
      <c r="O29" s="28" t="s">
        <v>450</v>
      </c>
      <c r="P29" s="28" t="s">
        <v>451</v>
      </c>
      <c r="Q29" s="28" t="s">
        <v>53</v>
      </c>
      <c r="R29" s="54">
        <v>70</v>
      </c>
      <c r="S29" s="59">
        <v>8</v>
      </c>
      <c r="T29" s="54">
        <v>2</v>
      </c>
      <c r="U29" s="54">
        <v>14</v>
      </c>
      <c r="V29" s="54">
        <v>8</v>
      </c>
      <c r="W29" s="81" t="s">
        <v>452</v>
      </c>
      <c r="X29" s="54" t="s">
        <v>453</v>
      </c>
      <c r="Y29" s="54" t="s">
        <v>2491</v>
      </c>
      <c r="Z29" s="101" t="s">
        <v>2494</v>
      </c>
      <c r="AA29" s="231" t="s">
        <v>2100</v>
      </c>
      <c r="AB29" s="195" t="s">
        <v>2097</v>
      </c>
      <c r="AC29" s="195" t="s">
        <v>2107</v>
      </c>
      <c r="AD29" s="195" t="s">
        <v>2110</v>
      </c>
      <c r="AE29" s="195" t="s">
        <v>2537</v>
      </c>
      <c r="AF29" s="233" t="s">
        <v>2104</v>
      </c>
      <c r="AG29" s="233" t="s">
        <v>455</v>
      </c>
      <c r="AH29" s="236" t="s">
        <v>456</v>
      </c>
      <c r="AI29" s="233" t="s">
        <v>2105</v>
      </c>
      <c r="AJ29" s="60"/>
      <c r="AK29" s="60"/>
      <c r="AL29" s="60"/>
      <c r="AM29" s="60"/>
      <c r="AN29" s="60"/>
      <c r="AO29" s="60"/>
      <c r="AP29" s="60"/>
      <c r="AQ29" s="60"/>
      <c r="AS29" s="60"/>
      <c r="AU29" s="60"/>
    </row>
    <row r="30" spans="1:47" ht="72.75" customHeight="1">
      <c r="A30" s="56" t="s">
        <v>457</v>
      </c>
      <c r="B30" s="199" t="s">
        <v>643</v>
      </c>
      <c r="C30" s="56" t="s">
        <v>211</v>
      </c>
      <c r="D30" s="56" t="s">
        <v>212</v>
      </c>
      <c r="E30" s="56" t="s">
        <v>40</v>
      </c>
      <c r="F30" s="54" t="s">
        <v>458</v>
      </c>
      <c r="G30" s="53" t="s">
        <v>225</v>
      </c>
      <c r="H30" s="54" t="s">
        <v>459</v>
      </c>
      <c r="I30" s="54" t="s">
        <v>454</v>
      </c>
      <c r="J30" s="54"/>
      <c r="K30" s="54" t="s">
        <v>592</v>
      </c>
      <c r="L30" s="58" t="s">
        <v>460</v>
      </c>
      <c r="M30" s="28" t="s">
        <v>202</v>
      </c>
      <c r="N30" s="28" t="s">
        <v>202</v>
      </c>
      <c r="O30" s="28" t="s">
        <v>461</v>
      </c>
      <c r="P30" s="28" t="s">
        <v>451</v>
      </c>
      <c r="Q30" s="28" t="s">
        <v>341</v>
      </c>
      <c r="R30" s="54">
        <v>88</v>
      </c>
      <c r="S30" s="59">
        <v>1</v>
      </c>
      <c r="T30" s="54">
        <v>2</v>
      </c>
      <c r="U30" s="54">
        <v>12</v>
      </c>
      <c r="V30" s="54">
        <v>6</v>
      </c>
      <c r="W30" s="81" t="s">
        <v>462</v>
      </c>
      <c r="X30" s="54" t="s">
        <v>463</v>
      </c>
      <c r="Y30" s="54" t="s">
        <v>2491</v>
      </c>
      <c r="Z30" s="101" t="s">
        <v>2494</v>
      </c>
      <c r="AA30" s="231" t="s">
        <v>2101</v>
      </c>
      <c r="AB30" s="195" t="s">
        <v>2099</v>
      </c>
      <c r="AC30" s="233" t="s">
        <v>2108</v>
      </c>
      <c r="AD30" s="195" t="s">
        <v>2110</v>
      </c>
      <c r="AE30" s="195" t="s">
        <v>2537</v>
      </c>
      <c r="AF30" s="233" t="s">
        <v>2104</v>
      </c>
      <c r="AG30" s="233" t="s">
        <v>455</v>
      </c>
      <c r="AH30" s="236" t="s">
        <v>456</v>
      </c>
      <c r="AI30" s="233" t="s">
        <v>103</v>
      </c>
      <c r="AJ30" s="60"/>
      <c r="AK30" s="60"/>
      <c r="AL30" s="60"/>
      <c r="AM30" s="60"/>
      <c r="AN30" s="60"/>
      <c r="AO30" s="60"/>
      <c r="AP30" s="60"/>
      <c r="AQ30" s="60"/>
      <c r="AS30" s="60"/>
      <c r="AU30" s="60"/>
    </row>
    <row r="31" spans="1:47" ht="72.75" customHeight="1">
      <c r="A31" s="56" t="s">
        <v>464</v>
      </c>
      <c r="B31" s="199" t="s">
        <v>730</v>
      </c>
      <c r="C31" s="56" t="s">
        <v>325</v>
      </c>
      <c r="D31" s="56" t="s">
        <v>212</v>
      </c>
      <c r="E31" s="56" t="s">
        <v>40</v>
      </c>
      <c r="F31" s="54" t="s">
        <v>465</v>
      </c>
      <c r="G31" s="54" t="s">
        <v>314</v>
      </c>
      <c r="H31" s="54" t="s">
        <v>466</v>
      </c>
      <c r="I31" s="54" t="s">
        <v>454</v>
      </c>
      <c r="J31" s="54"/>
      <c r="K31" s="54" t="s">
        <v>592</v>
      </c>
      <c r="L31" s="58" t="s">
        <v>395</v>
      </c>
      <c r="M31" s="28" t="s">
        <v>467</v>
      </c>
      <c r="N31" s="28" t="s">
        <v>202</v>
      </c>
      <c r="O31" s="28" t="s">
        <v>468</v>
      </c>
      <c r="P31" s="28" t="s">
        <v>469</v>
      </c>
      <c r="Q31" s="28" t="s">
        <v>53</v>
      </c>
      <c r="R31" s="54">
        <v>185</v>
      </c>
      <c r="S31" s="59">
        <v>1</v>
      </c>
      <c r="T31" s="54">
        <v>4</v>
      </c>
      <c r="U31" s="54">
        <v>9</v>
      </c>
      <c r="V31" s="54">
        <v>48</v>
      </c>
      <c r="W31" s="81" t="s">
        <v>470</v>
      </c>
      <c r="X31" s="54" t="s">
        <v>471</v>
      </c>
      <c r="Y31" s="54" t="s">
        <v>2491</v>
      </c>
      <c r="Z31" s="101" t="s">
        <v>2494</v>
      </c>
      <c r="AA31" s="231" t="s">
        <v>2102</v>
      </c>
      <c r="AB31" s="195" t="s">
        <v>2098</v>
      </c>
      <c r="AC31" s="233" t="s">
        <v>2109</v>
      </c>
      <c r="AD31" s="195" t="s">
        <v>2110</v>
      </c>
      <c r="AE31" s="195" t="s">
        <v>2537</v>
      </c>
      <c r="AF31" s="233" t="s">
        <v>2104</v>
      </c>
      <c r="AG31" s="233" t="s">
        <v>455</v>
      </c>
      <c r="AH31" s="236" t="s">
        <v>456</v>
      </c>
      <c r="AI31" s="233" t="s">
        <v>2106</v>
      </c>
      <c r="AJ31" s="60"/>
      <c r="AK31" s="60"/>
      <c r="AL31" s="60"/>
      <c r="AM31" s="60"/>
      <c r="AN31" s="60"/>
      <c r="AO31" s="60"/>
      <c r="AP31" s="60"/>
      <c r="AQ31" s="60"/>
      <c r="AS31" s="60"/>
      <c r="AU31" s="60"/>
    </row>
    <row r="32" spans="1:47" ht="72.75" customHeight="1">
      <c r="A32" s="56" t="s">
        <v>472</v>
      </c>
      <c r="B32" s="199" t="s">
        <v>2319</v>
      </c>
      <c r="C32" s="56" t="s">
        <v>473</v>
      </c>
      <c r="D32" s="56" t="s">
        <v>183</v>
      </c>
      <c r="E32" s="56" t="s">
        <v>40</v>
      </c>
      <c r="F32" s="54" t="s">
        <v>458</v>
      </c>
      <c r="G32" s="53" t="s">
        <v>225</v>
      </c>
      <c r="H32" s="54" t="s">
        <v>474</v>
      </c>
      <c r="I32" s="54" t="s">
        <v>454</v>
      </c>
      <c r="J32" s="54"/>
      <c r="K32" s="54" t="s">
        <v>592</v>
      </c>
      <c r="L32" s="58" t="s">
        <v>215</v>
      </c>
      <c r="M32" s="28" t="s">
        <v>475</v>
      </c>
      <c r="N32" s="28" t="s">
        <v>103</v>
      </c>
      <c r="O32" s="28" t="s">
        <v>476</v>
      </c>
      <c r="P32" s="28" t="s">
        <v>477</v>
      </c>
      <c r="Q32" s="28" t="s">
        <v>341</v>
      </c>
      <c r="R32" s="54">
        <v>73</v>
      </c>
      <c r="S32" s="59">
        <v>5</v>
      </c>
      <c r="T32" s="54">
        <v>1</v>
      </c>
      <c r="U32" s="54">
        <v>12</v>
      </c>
      <c r="V32" s="54">
        <v>9</v>
      </c>
      <c r="W32" s="81" t="s">
        <v>478</v>
      </c>
      <c r="X32" s="81" t="s">
        <v>2045</v>
      </c>
      <c r="Y32" s="54" t="s">
        <v>2491</v>
      </c>
      <c r="Z32" s="101" t="s">
        <v>2494</v>
      </c>
      <c r="AA32" s="231" t="s">
        <v>2103</v>
      </c>
      <c r="AB32" s="195" t="s">
        <v>2099</v>
      </c>
      <c r="AC32" s="233" t="s">
        <v>2108</v>
      </c>
      <c r="AD32" s="195" t="s">
        <v>2110</v>
      </c>
      <c r="AE32" s="195" t="s">
        <v>2537</v>
      </c>
      <c r="AF32" s="233" t="s">
        <v>2104</v>
      </c>
      <c r="AG32" s="233" t="s">
        <v>455</v>
      </c>
      <c r="AH32" s="236" t="s">
        <v>456</v>
      </c>
      <c r="AI32" s="233" t="s">
        <v>103</v>
      </c>
      <c r="AJ32" s="60"/>
      <c r="AK32" s="60"/>
      <c r="AL32" s="60"/>
      <c r="AM32" s="60"/>
      <c r="AN32" s="60"/>
      <c r="AO32" s="60"/>
      <c r="AP32" s="60"/>
      <c r="AQ32" s="60"/>
      <c r="AS32" s="60"/>
      <c r="AU32" s="60"/>
    </row>
    <row r="33" spans="1:47" ht="72.75" customHeight="1">
      <c r="A33" s="56" t="s">
        <v>479</v>
      </c>
      <c r="B33" s="199" t="s">
        <v>629</v>
      </c>
      <c r="C33" s="56" t="s">
        <v>480</v>
      </c>
      <c r="D33" s="56" t="s">
        <v>183</v>
      </c>
      <c r="E33" s="56" t="s">
        <v>40</v>
      </c>
      <c r="F33" s="54" t="s">
        <v>481</v>
      </c>
      <c r="G33" s="53" t="s">
        <v>225</v>
      </c>
      <c r="H33" s="54" t="s">
        <v>482</v>
      </c>
      <c r="I33" s="53" t="s">
        <v>485</v>
      </c>
      <c r="J33" s="53">
        <v>3</v>
      </c>
      <c r="K33" s="53" t="s">
        <v>592</v>
      </c>
      <c r="L33" s="58" t="s">
        <v>263</v>
      </c>
      <c r="M33" s="28" t="s">
        <v>483</v>
      </c>
      <c r="N33" s="28" t="s">
        <v>2195</v>
      </c>
      <c r="O33" s="28" t="s">
        <v>239</v>
      </c>
      <c r="P33" s="28" t="s">
        <v>451</v>
      </c>
      <c r="Q33" s="28" t="s">
        <v>53</v>
      </c>
      <c r="R33" s="54">
        <v>45</v>
      </c>
      <c r="S33" s="59">
        <v>7</v>
      </c>
      <c r="T33" s="54">
        <v>6</v>
      </c>
      <c r="U33" s="54">
        <v>14</v>
      </c>
      <c r="V33" s="54">
        <v>0</v>
      </c>
      <c r="W33" s="81" t="s">
        <v>2045</v>
      </c>
      <c r="X33" s="54" t="s">
        <v>484</v>
      </c>
      <c r="Y33" s="101" t="s">
        <v>2494</v>
      </c>
      <c r="Z33" s="101" t="s">
        <v>2493</v>
      </c>
      <c r="AA33" s="195" t="s">
        <v>2060</v>
      </c>
      <c r="AB33" s="195" t="s">
        <v>2141</v>
      </c>
      <c r="AC33" s="233" t="s">
        <v>2046</v>
      </c>
      <c r="AD33" s="233" t="s">
        <v>2046</v>
      </c>
      <c r="AE33" s="233" t="s">
        <v>2527</v>
      </c>
      <c r="AF33" s="233" t="s">
        <v>2142</v>
      </c>
      <c r="AG33" s="196" t="s">
        <v>2066</v>
      </c>
      <c r="AH33" s="236" t="s">
        <v>2065</v>
      </c>
      <c r="AI33" s="233" t="s">
        <v>103</v>
      </c>
      <c r="AJ33" s="60"/>
      <c r="AK33" s="60"/>
      <c r="AL33" s="60"/>
      <c r="AM33" s="60"/>
      <c r="AN33" s="60"/>
      <c r="AO33" s="60"/>
      <c r="AP33" s="60"/>
      <c r="AQ33" s="60"/>
      <c r="AS33" s="60"/>
      <c r="AU33" s="60"/>
    </row>
    <row r="34" spans="1:47" ht="72.75" customHeight="1">
      <c r="A34" s="56" t="s">
        <v>486</v>
      </c>
      <c r="B34" s="199" t="s">
        <v>665</v>
      </c>
      <c r="C34" s="56" t="s">
        <v>223</v>
      </c>
      <c r="D34" s="56" t="s">
        <v>183</v>
      </c>
      <c r="E34" s="56" t="s">
        <v>40</v>
      </c>
      <c r="F34" s="54" t="s">
        <v>487</v>
      </c>
      <c r="G34" s="53" t="s">
        <v>225</v>
      </c>
      <c r="H34" s="54" t="s">
        <v>488</v>
      </c>
      <c r="I34" s="53" t="s">
        <v>485</v>
      </c>
      <c r="K34" s="53" t="s">
        <v>592</v>
      </c>
      <c r="L34" s="58" t="s">
        <v>489</v>
      </c>
      <c r="M34" s="28" t="s">
        <v>490</v>
      </c>
      <c r="N34" s="28" t="s">
        <v>491</v>
      </c>
      <c r="O34" s="28" t="s">
        <v>492</v>
      </c>
      <c r="P34" s="28" t="s">
        <v>493</v>
      </c>
      <c r="Q34" s="28" t="s">
        <v>53</v>
      </c>
      <c r="R34" s="54">
        <v>64</v>
      </c>
      <c r="S34" s="59">
        <v>6</v>
      </c>
      <c r="T34" s="54">
        <v>6</v>
      </c>
      <c r="U34" s="54">
        <v>14</v>
      </c>
      <c r="V34" s="54">
        <v>0</v>
      </c>
      <c r="W34" s="81" t="s">
        <v>2045</v>
      </c>
      <c r="X34" s="54" t="s">
        <v>494</v>
      </c>
      <c r="Y34" s="101" t="s">
        <v>2494</v>
      </c>
      <c r="Z34" s="101" t="s">
        <v>2493</v>
      </c>
      <c r="AA34" s="195" t="s">
        <v>2060</v>
      </c>
      <c r="AB34" s="195" t="s">
        <v>2141</v>
      </c>
      <c r="AC34" s="233" t="s">
        <v>2046</v>
      </c>
      <c r="AD34" s="233" t="s">
        <v>2046</v>
      </c>
      <c r="AE34" s="233" t="s">
        <v>2527</v>
      </c>
      <c r="AF34" s="233" t="s">
        <v>2142</v>
      </c>
      <c r="AG34" s="196" t="s">
        <v>2066</v>
      </c>
      <c r="AH34" s="236" t="s">
        <v>2065</v>
      </c>
      <c r="AI34" s="233" t="s">
        <v>103</v>
      </c>
      <c r="AJ34" s="60"/>
      <c r="AK34" s="60"/>
      <c r="AL34" s="60"/>
      <c r="AM34" s="60"/>
      <c r="AN34" s="60"/>
      <c r="AO34" s="60"/>
      <c r="AP34" s="60"/>
      <c r="AQ34" s="60"/>
      <c r="AS34" s="60"/>
      <c r="AU34" s="60"/>
    </row>
    <row r="35" spans="1:47" ht="72.75" customHeight="1">
      <c r="A35" s="56" t="s">
        <v>495</v>
      </c>
      <c r="B35" s="199" t="s">
        <v>709</v>
      </c>
      <c r="C35" s="56" t="s">
        <v>269</v>
      </c>
      <c r="D35" s="56" t="s">
        <v>212</v>
      </c>
      <c r="E35" s="56" t="s">
        <v>31</v>
      </c>
      <c r="F35" s="54" t="s">
        <v>496</v>
      </c>
      <c r="G35" s="53" t="s">
        <v>225</v>
      </c>
      <c r="H35" s="54" t="s">
        <v>350</v>
      </c>
      <c r="I35" s="53" t="s">
        <v>502</v>
      </c>
      <c r="J35" s="53">
        <v>8</v>
      </c>
      <c r="K35" s="53" t="s">
        <v>592</v>
      </c>
      <c r="L35" s="61" t="s">
        <v>439</v>
      </c>
      <c r="M35" s="28" t="s">
        <v>497</v>
      </c>
      <c r="N35" s="28" t="s">
        <v>103</v>
      </c>
      <c r="O35" s="28" t="s">
        <v>498</v>
      </c>
      <c r="P35" s="28" t="s">
        <v>499</v>
      </c>
      <c r="Q35" s="28" t="s">
        <v>53</v>
      </c>
      <c r="R35" s="54">
        <v>190</v>
      </c>
      <c r="S35" s="59">
        <v>3</v>
      </c>
      <c r="T35" s="54">
        <v>6</v>
      </c>
      <c r="U35" s="54">
        <v>16</v>
      </c>
      <c r="V35" s="54">
        <v>11</v>
      </c>
      <c r="W35" s="81" t="s">
        <v>500</v>
      </c>
      <c r="X35" s="54" t="s">
        <v>501</v>
      </c>
      <c r="Y35" s="101" t="s">
        <v>2494</v>
      </c>
      <c r="Z35" s="54" t="s">
        <v>2492</v>
      </c>
      <c r="AA35" s="195" t="s">
        <v>2162</v>
      </c>
      <c r="AB35" s="195" t="s">
        <v>2165</v>
      </c>
      <c r="AC35" s="195" t="s">
        <v>2163</v>
      </c>
      <c r="AD35" s="196" t="s">
        <v>2046</v>
      </c>
      <c r="AE35" s="196" t="s">
        <v>2527</v>
      </c>
      <c r="AF35" s="233" t="s">
        <v>2166</v>
      </c>
      <c r="AG35" s="196" t="s">
        <v>2079</v>
      </c>
      <c r="AH35" s="196" t="s">
        <v>2078</v>
      </c>
      <c r="AI35" s="195" t="s">
        <v>2164</v>
      </c>
      <c r="AJ35" s="60"/>
      <c r="AK35" s="60"/>
      <c r="AL35" s="60"/>
      <c r="AM35" s="60"/>
      <c r="AN35" s="60"/>
      <c r="AO35" s="60"/>
      <c r="AP35" s="60"/>
      <c r="AQ35" s="60"/>
      <c r="AS35" s="60"/>
      <c r="AU35" s="60"/>
    </row>
    <row r="36" spans="1:47" ht="72.75" customHeight="1">
      <c r="A36" s="56" t="s">
        <v>503</v>
      </c>
      <c r="B36" s="199" t="s">
        <v>2317</v>
      </c>
      <c r="C36" s="56" t="s">
        <v>269</v>
      </c>
      <c r="D36" s="56" t="s">
        <v>212</v>
      </c>
      <c r="E36" s="56" t="s">
        <v>31</v>
      </c>
      <c r="F36" s="53" t="s">
        <v>504</v>
      </c>
      <c r="G36" s="54" t="s">
        <v>314</v>
      </c>
      <c r="H36" s="53" t="s">
        <v>505</v>
      </c>
      <c r="I36" s="53" t="s">
        <v>502</v>
      </c>
      <c r="K36" s="53" t="s">
        <v>610</v>
      </c>
      <c r="L36" s="53" t="s">
        <v>351</v>
      </c>
      <c r="M36" s="104" t="s">
        <v>506</v>
      </c>
      <c r="N36" s="104" t="s">
        <v>507</v>
      </c>
      <c r="O36" s="104" t="s">
        <v>508</v>
      </c>
      <c r="P36" s="104" t="s">
        <v>509</v>
      </c>
      <c r="Q36" s="104" t="s">
        <v>53</v>
      </c>
      <c r="R36" s="105">
        <v>67</v>
      </c>
      <c r="S36" s="106">
        <v>9</v>
      </c>
      <c r="T36" s="107">
        <v>7</v>
      </c>
      <c r="U36" s="107">
        <v>5</v>
      </c>
      <c r="V36" s="107">
        <v>10</v>
      </c>
      <c r="W36" s="108" t="s">
        <v>510</v>
      </c>
      <c r="X36" s="108" t="s">
        <v>2045</v>
      </c>
      <c r="Y36" s="101" t="s">
        <v>2494</v>
      </c>
      <c r="Z36" s="54" t="s">
        <v>2492</v>
      </c>
      <c r="AA36" s="195" t="s">
        <v>2162</v>
      </c>
      <c r="AB36" s="195" t="s">
        <v>2165</v>
      </c>
      <c r="AC36" s="195" t="s">
        <v>2163</v>
      </c>
      <c r="AD36" s="196" t="s">
        <v>2046</v>
      </c>
      <c r="AE36" s="196" t="s">
        <v>2527</v>
      </c>
      <c r="AF36" s="233" t="s">
        <v>2166</v>
      </c>
      <c r="AG36" s="196" t="s">
        <v>2079</v>
      </c>
      <c r="AH36" s="196" t="s">
        <v>2078</v>
      </c>
      <c r="AI36" s="195" t="s">
        <v>2164</v>
      </c>
      <c r="AJ36" s="60"/>
      <c r="AK36" s="60"/>
      <c r="AL36" s="60"/>
      <c r="AM36" s="60"/>
      <c r="AN36" s="60"/>
      <c r="AO36" s="60"/>
      <c r="AP36" s="60"/>
      <c r="AQ36" s="60"/>
      <c r="AS36" s="60"/>
      <c r="AU36" s="60"/>
    </row>
    <row r="37" spans="1:47" ht="72.75" customHeight="1">
      <c r="A37" s="56" t="s">
        <v>511</v>
      </c>
      <c r="B37" s="199" t="s">
        <v>634</v>
      </c>
      <c r="C37" s="56" t="s">
        <v>211</v>
      </c>
      <c r="D37" s="56" t="s">
        <v>212</v>
      </c>
      <c r="E37" s="56" t="s">
        <v>31</v>
      </c>
      <c r="F37" s="54" t="s">
        <v>512</v>
      </c>
      <c r="G37" s="53" t="s">
        <v>225</v>
      </c>
      <c r="H37" s="54" t="s">
        <v>262</v>
      </c>
      <c r="I37" s="54" t="s">
        <v>519</v>
      </c>
      <c r="J37" s="54">
        <v>2</v>
      </c>
      <c r="K37" s="54" t="s">
        <v>610</v>
      </c>
      <c r="L37" s="74" t="s">
        <v>513</v>
      </c>
      <c r="M37" s="104" t="s">
        <v>514</v>
      </c>
      <c r="N37" s="104" t="s">
        <v>103</v>
      </c>
      <c r="O37" s="104" t="s">
        <v>515</v>
      </c>
      <c r="P37" s="104" t="s">
        <v>516</v>
      </c>
      <c r="Q37" s="104" t="s">
        <v>53</v>
      </c>
      <c r="R37" s="107">
        <v>60</v>
      </c>
      <c r="S37" s="106">
        <v>1</v>
      </c>
      <c r="T37" s="107">
        <v>3</v>
      </c>
      <c r="U37" s="107">
        <v>14</v>
      </c>
      <c r="V37" s="107">
        <v>4</v>
      </c>
      <c r="W37" s="108" t="s">
        <v>517</v>
      </c>
      <c r="X37" s="107" t="s">
        <v>518</v>
      </c>
      <c r="Y37" s="54" t="s">
        <v>2491</v>
      </c>
      <c r="Z37" s="54" t="s">
        <v>2491</v>
      </c>
      <c r="AA37" s="195" t="s">
        <v>2158</v>
      </c>
      <c r="AB37" s="195" t="s">
        <v>2074</v>
      </c>
      <c r="AC37" s="195" t="s">
        <v>2075</v>
      </c>
      <c r="AD37" s="195" t="s">
        <v>2075</v>
      </c>
      <c r="AE37" s="195" t="s">
        <v>2538</v>
      </c>
      <c r="AF37" s="233" t="s">
        <v>2157</v>
      </c>
      <c r="AG37" s="196" t="s">
        <v>2073</v>
      </c>
      <c r="AH37" s="196" t="s">
        <v>2072</v>
      </c>
      <c r="AI37" s="233" t="s">
        <v>103</v>
      </c>
      <c r="AJ37" s="60"/>
      <c r="AK37" s="60"/>
      <c r="AL37" s="60"/>
      <c r="AM37" s="60"/>
      <c r="AN37" s="60"/>
      <c r="AO37" s="60"/>
      <c r="AP37" s="60"/>
      <c r="AQ37" s="60"/>
      <c r="AS37" s="60"/>
      <c r="AU37" s="60"/>
    </row>
    <row r="38" spans="1:47" ht="72.75" customHeight="1">
      <c r="A38" s="56" t="s">
        <v>520</v>
      </c>
      <c r="B38" s="199" t="s">
        <v>697</v>
      </c>
      <c r="C38" s="56" t="s">
        <v>269</v>
      </c>
      <c r="D38" s="56" t="s">
        <v>212</v>
      </c>
      <c r="E38" s="56" t="s">
        <v>31</v>
      </c>
      <c r="F38" s="54" t="s">
        <v>521</v>
      </c>
      <c r="G38" s="53" t="s">
        <v>225</v>
      </c>
      <c r="H38" s="54" t="s">
        <v>522</v>
      </c>
      <c r="I38" s="54" t="s">
        <v>519</v>
      </c>
      <c r="J38" s="54"/>
      <c r="K38" s="54" t="s">
        <v>592</v>
      </c>
      <c r="L38" s="58" t="s">
        <v>523</v>
      </c>
      <c r="M38" s="28" t="s">
        <v>524</v>
      </c>
      <c r="N38" s="28" t="s">
        <v>525</v>
      </c>
      <c r="O38" s="28" t="s">
        <v>526</v>
      </c>
      <c r="P38" s="28" t="s">
        <v>527</v>
      </c>
      <c r="Q38" s="28" t="s">
        <v>53</v>
      </c>
      <c r="R38" s="54">
        <v>148</v>
      </c>
      <c r="S38" s="59">
        <v>0</v>
      </c>
      <c r="T38" s="54">
        <v>3</v>
      </c>
      <c r="U38" s="54">
        <v>14</v>
      </c>
      <c r="V38" s="54">
        <v>6</v>
      </c>
      <c r="W38" s="81" t="s">
        <v>528</v>
      </c>
      <c r="X38" s="54" t="s">
        <v>529</v>
      </c>
      <c r="Y38" s="54" t="s">
        <v>2491</v>
      </c>
      <c r="Z38" s="54" t="s">
        <v>2491</v>
      </c>
      <c r="AA38" s="195" t="s">
        <v>2158</v>
      </c>
      <c r="AB38" s="195" t="s">
        <v>2074</v>
      </c>
      <c r="AC38" s="195" t="s">
        <v>2075</v>
      </c>
      <c r="AD38" s="195" t="s">
        <v>2075</v>
      </c>
      <c r="AE38" s="195" t="s">
        <v>2538</v>
      </c>
      <c r="AF38" s="233" t="s">
        <v>2157</v>
      </c>
      <c r="AG38" s="196" t="s">
        <v>2073</v>
      </c>
      <c r="AH38" s="196" t="s">
        <v>2072</v>
      </c>
      <c r="AI38" s="233" t="s">
        <v>103</v>
      </c>
      <c r="AJ38" s="60"/>
      <c r="AK38" s="60"/>
      <c r="AL38" s="60"/>
      <c r="AM38" s="60"/>
      <c r="AN38" s="60"/>
      <c r="AO38" s="60"/>
      <c r="AP38" s="60"/>
      <c r="AQ38" s="60"/>
      <c r="AS38" s="60"/>
      <c r="AU38" s="60"/>
    </row>
    <row r="39" spans="1:47" ht="72.75" customHeight="1">
      <c r="A39" s="56" t="s">
        <v>530</v>
      </c>
      <c r="B39" s="199" t="s">
        <v>857</v>
      </c>
      <c r="C39" s="56" t="s">
        <v>312</v>
      </c>
      <c r="D39" s="56" t="s">
        <v>212</v>
      </c>
      <c r="E39" s="56" t="s">
        <v>1718</v>
      </c>
      <c r="F39" s="54" t="s">
        <v>531</v>
      </c>
      <c r="G39" s="53" t="s">
        <v>225</v>
      </c>
      <c r="H39" s="54" t="s">
        <v>532</v>
      </c>
      <c r="I39" s="54" t="s">
        <v>519</v>
      </c>
      <c r="J39" s="54"/>
      <c r="K39" s="54" t="s">
        <v>592</v>
      </c>
      <c r="L39" s="58" t="s">
        <v>263</v>
      </c>
      <c r="M39" s="28" t="s">
        <v>533</v>
      </c>
      <c r="N39" s="28" t="s">
        <v>2196</v>
      </c>
      <c r="O39" s="28" t="s">
        <v>239</v>
      </c>
      <c r="P39" s="28" t="s">
        <v>534</v>
      </c>
      <c r="Q39" s="28" t="s">
        <v>53</v>
      </c>
      <c r="R39" s="54">
        <v>107</v>
      </c>
      <c r="S39" s="59">
        <v>5</v>
      </c>
      <c r="T39" s="54">
        <v>3</v>
      </c>
      <c r="U39" s="54">
        <v>15</v>
      </c>
      <c r="V39" s="54">
        <v>4</v>
      </c>
      <c r="W39" s="81" t="s">
        <v>535</v>
      </c>
      <c r="X39" s="54" t="s">
        <v>536</v>
      </c>
      <c r="Y39" s="54" t="s">
        <v>2491</v>
      </c>
      <c r="Z39" s="54" t="s">
        <v>2491</v>
      </c>
      <c r="AA39" s="195" t="s">
        <v>2158</v>
      </c>
      <c r="AB39" s="195" t="s">
        <v>2074</v>
      </c>
      <c r="AC39" s="195" t="s">
        <v>2075</v>
      </c>
      <c r="AD39" s="195" t="s">
        <v>2075</v>
      </c>
      <c r="AE39" s="195" t="s">
        <v>2538</v>
      </c>
      <c r="AF39" s="233" t="s">
        <v>2157</v>
      </c>
      <c r="AG39" s="196" t="s">
        <v>2073</v>
      </c>
      <c r="AH39" s="196" t="s">
        <v>2072</v>
      </c>
      <c r="AI39" s="233" t="s">
        <v>103</v>
      </c>
      <c r="AJ39" s="60"/>
      <c r="AK39" s="60"/>
      <c r="AL39" s="60"/>
      <c r="AM39" s="60"/>
      <c r="AN39" s="60"/>
      <c r="AO39" s="60"/>
      <c r="AP39" s="60"/>
      <c r="AQ39" s="60"/>
      <c r="AS39" s="60"/>
      <c r="AU39" s="60"/>
    </row>
    <row r="40" spans="1:47" ht="72.75" customHeight="1">
      <c r="A40" s="54" t="s">
        <v>537</v>
      </c>
      <c r="B40" s="199" t="s">
        <v>633</v>
      </c>
      <c r="C40" s="56" t="s">
        <v>211</v>
      </c>
      <c r="D40" s="54" t="s">
        <v>212</v>
      </c>
      <c r="E40" s="56" t="s">
        <v>39</v>
      </c>
      <c r="F40" s="54" t="s">
        <v>538</v>
      </c>
      <c r="G40" s="53" t="s">
        <v>225</v>
      </c>
      <c r="H40" s="63" t="s">
        <v>539</v>
      </c>
      <c r="I40" s="53" t="s">
        <v>545</v>
      </c>
      <c r="J40" s="53">
        <v>6</v>
      </c>
      <c r="K40" s="53" t="s">
        <v>592</v>
      </c>
      <c r="L40" s="58" t="s">
        <v>489</v>
      </c>
      <c r="M40" s="28" t="s">
        <v>540</v>
      </c>
      <c r="N40" s="28" t="s">
        <v>541</v>
      </c>
      <c r="O40" s="28" t="s">
        <v>239</v>
      </c>
      <c r="P40" s="28" t="s">
        <v>542</v>
      </c>
      <c r="Q40" s="28" t="s">
        <v>53</v>
      </c>
      <c r="R40" s="54">
        <v>80</v>
      </c>
      <c r="S40" s="59">
        <v>1</v>
      </c>
      <c r="T40" s="54">
        <v>1</v>
      </c>
      <c r="U40" s="54">
        <v>15</v>
      </c>
      <c r="V40" s="54">
        <v>4</v>
      </c>
      <c r="W40" s="81" t="s">
        <v>543</v>
      </c>
      <c r="X40" s="54" t="s">
        <v>544</v>
      </c>
      <c r="Y40" s="54" t="s">
        <v>2491</v>
      </c>
      <c r="Z40" s="101" t="s">
        <v>2493</v>
      </c>
      <c r="AA40" s="196" t="s">
        <v>2060</v>
      </c>
      <c r="AB40" s="196" t="s">
        <v>2167</v>
      </c>
      <c r="AC40" s="196" t="s">
        <v>2169</v>
      </c>
      <c r="AD40" s="195" t="s">
        <v>2168</v>
      </c>
      <c r="AE40" s="195" t="s">
        <v>610</v>
      </c>
      <c r="AF40" s="233" t="s">
        <v>2170</v>
      </c>
      <c r="AG40" s="196" t="s">
        <v>2081</v>
      </c>
      <c r="AH40" s="196" t="s">
        <v>2080</v>
      </c>
      <c r="AI40" s="233" t="s">
        <v>103</v>
      </c>
      <c r="AJ40" s="60"/>
      <c r="AK40" s="60"/>
      <c r="AL40" s="60"/>
      <c r="AM40" s="60"/>
      <c r="AN40" s="60"/>
      <c r="AO40" s="60"/>
      <c r="AP40" s="60"/>
      <c r="AQ40" s="60"/>
      <c r="AS40" s="60"/>
      <c r="AU40" s="60"/>
    </row>
    <row r="41" spans="1:47" ht="72.75" customHeight="1">
      <c r="A41" s="56" t="s">
        <v>546</v>
      </c>
      <c r="B41" s="199" t="s">
        <v>667</v>
      </c>
      <c r="C41" s="56" t="s">
        <v>223</v>
      </c>
      <c r="D41" s="56" t="s">
        <v>183</v>
      </c>
      <c r="E41" s="56" t="s">
        <v>39</v>
      </c>
      <c r="F41" s="54" t="s">
        <v>547</v>
      </c>
      <c r="G41" s="53" t="s">
        <v>225</v>
      </c>
      <c r="H41" s="54" t="s">
        <v>548</v>
      </c>
      <c r="I41" s="53" t="s">
        <v>545</v>
      </c>
      <c r="K41" s="53" t="s">
        <v>592</v>
      </c>
      <c r="L41" s="58" t="s">
        <v>549</v>
      </c>
      <c r="M41" s="28" t="s">
        <v>550</v>
      </c>
      <c r="N41" s="28" t="s">
        <v>551</v>
      </c>
      <c r="O41" s="28" t="s">
        <v>552</v>
      </c>
      <c r="P41" s="28" t="s">
        <v>553</v>
      </c>
      <c r="Q41" s="28" t="s">
        <v>53</v>
      </c>
      <c r="R41" s="54">
        <v>117</v>
      </c>
      <c r="S41" s="59">
        <v>9</v>
      </c>
      <c r="T41" s="54">
        <v>2</v>
      </c>
      <c r="U41" s="54">
        <v>14</v>
      </c>
      <c r="V41" s="54">
        <v>3</v>
      </c>
      <c r="W41" s="81" t="s">
        <v>554</v>
      </c>
      <c r="X41" s="54" t="s">
        <v>544</v>
      </c>
      <c r="Y41" s="54" t="s">
        <v>2491</v>
      </c>
      <c r="Z41" s="101" t="s">
        <v>2493</v>
      </c>
      <c r="AA41" s="196" t="s">
        <v>2060</v>
      </c>
      <c r="AB41" s="196" t="s">
        <v>2167</v>
      </c>
      <c r="AC41" s="196" t="s">
        <v>2169</v>
      </c>
      <c r="AD41" s="195" t="s">
        <v>2168</v>
      </c>
      <c r="AE41" s="195" t="s">
        <v>610</v>
      </c>
      <c r="AF41" s="233" t="s">
        <v>2170</v>
      </c>
      <c r="AG41" s="196" t="s">
        <v>2081</v>
      </c>
      <c r="AH41" s="196" t="s">
        <v>2080</v>
      </c>
      <c r="AI41" s="233" t="s">
        <v>103</v>
      </c>
      <c r="AJ41" s="60"/>
      <c r="AK41" s="60"/>
      <c r="AL41" s="60"/>
      <c r="AM41" s="60"/>
      <c r="AN41" s="60"/>
      <c r="AO41" s="60"/>
      <c r="AP41" s="60"/>
      <c r="AQ41" s="60"/>
      <c r="AS41" s="60"/>
      <c r="AU41" s="60"/>
    </row>
    <row r="42" spans="1:47" ht="72.75" customHeight="1">
      <c r="A42" s="56" t="s">
        <v>555</v>
      </c>
      <c r="B42" s="199" t="s">
        <v>602</v>
      </c>
      <c r="C42" s="56" t="s">
        <v>182</v>
      </c>
      <c r="D42" s="56" t="s">
        <v>183</v>
      </c>
      <c r="E42" s="56" t="s">
        <v>1712</v>
      </c>
      <c r="F42" s="54" t="s">
        <v>556</v>
      </c>
      <c r="G42" s="53" t="s">
        <v>225</v>
      </c>
      <c r="H42" s="54" t="s">
        <v>557</v>
      </c>
      <c r="I42" s="53" t="s">
        <v>564</v>
      </c>
      <c r="J42" s="53">
        <v>6</v>
      </c>
      <c r="K42" s="53" t="s">
        <v>2496</v>
      </c>
      <c r="L42" s="54" t="s">
        <v>558</v>
      </c>
      <c r="M42" s="28" t="s">
        <v>559</v>
      </c>
      <c r="N42" s="28" t="s">
        <v>560</v>
      </c>
      <c r="O42" s="28" t="s">
        <v>561</v>
      </c>
      <c r="P42" s="28" t="s">
        <v>562</v>
      </c>
      <c r="Q42" s="28" t="s">
        <v>53</v>
      </c>
      <c r="R42" s="54">
        <v>109</v>
      </c>
      <c r="S42" s="59">
        <v>4</v>
      </c>
      <c r="T42" s="54">
        <v>3</v>
      </c>
      <c r="U42" s="54">
        <v>18</v>
      </c>
      <c r="V42" s="54">
        <v>26</v>
      </c>
      <c r="W42" s="81" t="s">
        <v>2245</v>
      </c>
      <c r="X42" s="54" t="s">
        <v>563</v>
      </c>
      <c r="Y42" s="54" t="s">
        <v>2491</v>
      </c>
      <c r="Z42" s="101" t="s">
        <v>2494</v>
      </c>
      <c r="AA42" s="231" t="s">
        <v>2128</v>
      </c>
      <c r="AB42" s="233" t="s">
        <v>2127</v>
      </c>
      <c r="AC42" s="233" t="s">
        <v>2130</v>
      </c>
      <c r="AD42" s="233" t="s">
        <v>2046</v>
      </c>
      <c r="AE42" s="233" t="s">
        <v>610</v>
      </c>
      <c r="AF42" s="233" t="s">
        <v>2129</v>
      </c>
      <c r="AG42" s="232" t="s">
        <v>2054</v>
      </c>
      <c r="AH42" s="238" t="s">
        <v>2053</v>
      </c>
      <c r="AI42" s="233" t="s">
        <v>103</v>
      </c>
      <c r="AJ42" s="60"/>
      <c r="AK42" s="60"/>
      <c r="AL42" s="60"/>
      <c r="AM42" s="60"/>
      <c r="AN42" s="60"/>
      <c r="AO42" s="60"/>
      <c r="AP42" s="60"/>
      <c r="AQ42" s="60"/>
      <c r="AS42" s="60"/>
      <c r="AU42" s="60"/>
    </row>
    <row r="43" spans="1:47" ht="72.75" customHeight="1">
      <c r="A43" s="56" t="s">
        <v>565</v>
      </c>
      <c r="B43" s="199" t="s">
        <v>703</v>
      </c>
      <c r="C43" s="56" t="s">
        <v>269</v>
      </c>
      <c r="D43" s="56" t="s">
        <v>212</v>
      </c>
      <c r="E43" s="56" t="s">
        <v>2042</v>
      </c>
      <c r="F43" s="54" t="s">
        <v>566</v>
      </c>
      <c r="G43" s="53" t="s">
        <v>225</v>
      </c>
      <c r="H43" s="54" t="s">
        <v>567</v>
      </c>
      <c r="I43" s="53" t="s">
        <v>564</v>
      </c>
      <c r="K43" s="53" t="s">
        <v>592</v>
      </c>
      <c r="L43" s="58" t="s">
        <v>489</v>
      </c>
      <c r="M43" s="28" t="s">
        <v>568</v>
      </c>
      <c r="N43" s="28" t="s">
        <v>569</v>
      </c>
      <c r="O43" s="28" t="s">
        <v>570</v>
      </c>
      <c r="P43" s="28" t="s">
        <v>571</v>
      </c>
      <c r="Q43" s="28" t="s">
        <v>53</v>
      </c>
      <c r="R43" s="54">
        <v>128</v>
      </c>
      <c r="S43" s="59">
        <v>5</v>
      </c>
      <c r="T43" s="54">
        <v>6</v>
      </c>
      <c r="U43" s="54">
        <v>16</v>
      </c>
      <c r="V43" s="54">
        <v>17</v>
      </c>
      <c r="W43" s="81" t="s">
        <v>572</v>
      </c>
      <c r="X43" s="54" t="s">
        <v>573</v>
      </c>
      <c r="Y43" s="54" t="s">
        <v>2491</v>
      </c>
      <c r="Z43" s="101" t="s">
        <v>2494</v>
      </c>
      <c r="AA43" s="231" t="s">
        <v>2128</v>
      </c>
      <c r="AB43" s="233" t="s">
        <v>2127</v>
      </c>
      <c r="AC43" s="233" t="s">
        <v>2130</v>
      </c>
      <c r="AD43" s="233" t="s">
        <v>2046</v>
      </c>
      <c r="AE43" s="233" t="s">
        <v>610</v>
      </c>
      <c r="AF43" s="233" t="s">
        <v>2129</v>
      </c>
      <c r="AG43" s="232" t="s">
        <v>2054</v>
      </c>
      <c r="AH43" s="238" t="s">
        <v>2053</v>
      </c>
      <c r="AI43" s="233" t="s">
        <v>103</v>
      </c>
      <c r="AJ43" s="60"/>
      <c r="AK43" s="60"/>
      <c r="AL43" s="60"/>
      <c r="AM43" s="60"/>
      <c r="AN43" s="60"/>
      <c r="AO43" s="60"/>
      <c r="AP43" s="60"/>
      <c r="AQ43" s="60"/>
      <c r="AS43" s="60"/>
      <c r="AU43" s="60"/>
    </row>
  </sheetData>
  <conditionalFormatting sqref="R3:R43">
    <cfRule type="dataBar" priority="5">
      <dataBar>
        <cfvo type="min" val="0"/>
        <cfvo type="max" val="0"/>
        <color rgb="FF638EC6"/>
      </dataBar>
      <extLst xmlns:x14="http://schemas.microsoft.com/office/spreadsheetml/2009/9/main">
        <ext uri="{B025F937-C7B1-47D3-B67F-A62EFF666E3E}">
          <x14:id>{C8427220-22D8-4C53-A027-4FF2834275B4}</x14:id>
        </ext>
      </extLst>
    </cfRule>
  </conditionalFormatting>
  <conditionalFormatting sqref="S3:S43">
    <cfRule type="dataBar" priority="6">
      <dataBar>
        <cfvo type="min" val="0"/>
        <cfvo type="max" val="0"/>
        <color rgb="FF63C384"/>
      </dataBar>
      <extLst xmlns:x14="http://schemas.microsoft.com/office/spreadsheetml/2009/9/main">
        <ext uri="{B025F937-C7B1-47D3-B67F-A62EFF666E3E}">
          <x14:id>{C8C9A761-4EAA-4254-88FF-D4725282CB90}</x14:id>
        </ext>
      </extLst>
    </cfRule>
  </conditionalFormatting>
  <conditionalFormatting sqref="S3:X43">
    <cfRule type="dataBar" priority="9">
      <dataBar>
        <cfvo type="min" val="0"/>
        <cfvo type="max" val="0"/>
        <color rgb="FF63C384"/>
      </dataBar>
      <extLst xmlns:x14="http://schemas.microsoft.com/office/spreadsheetml/2009/9/main">
        <ext uri="{B025F937-C7B1-47D3-B67F-A62EFF666E3E}">
          <x14:id>{47DC742B-7C6A-472F-A5AC-219C9F7E569F}</x14:id>
        </ext>
      </extLst>
    </cfRule>
    <cfRule type="dataBar" priority="10">
      <dataBar>
        <cfvo type="min" val="0"/>
        <cfvo type="max" val="0"/>
        <color rgb="FF63C384"/>
      </dataBar>
      <extLst xmlns:x14="http://schemas.microsoft.com/office/spreadsheetml/2009/9/main">
        <ext uri="{B025F937-C7B1-47D3-B67F-A62EFF666E3E}">
          <x14:id>{1045538F-B359-42C2-9620-63BBB825F32D}</x14:id>
        </ext>
      </extLst>
    </cfRule>
  </conditionalFormatting>
  <conditionalFormatting sqref="V3:V43">
    <cfRule type="dataBar" priority="8">
      <dataBar>
        <cfvo type="min" val="0"/>
        <cfvo type="max" val="0"/>
        <color rgb="FFFFB628"/>
      </dataBar>
      <extLst xmlns:x14="http://schemas.microsoft.com/office/spreadsheetml/2009/9/main">
        <ext uri="{B025F937-C7B1-47D3-B67F-A62EFF666E3E}">
          <x14:id>{E0AC5FD3-BC00-4C8E-9AE2-0687CB02F665}</x14:id>
        </ext>
      </extLst>
    </cfRule>
  </conditionalFormatting>
  <conditionalFormatting sqref="T3:U43 W3:X43">
    <cfRule type="dataBar" priority="7">
      <dataBar>
        <cfvo type="min" val="0"/>
        <cfvo type="max" val="0"/>
        <color rgb="FF638EC6"/>
      </dataBar>
      <extLst xmlns:x14="http://schemas.microsoft.com/office/spreadsheetml/2009/9/main">
        <ext uri="{B025F937-C7B1-47D3-B67F-A62EFF666E3E}">
          <x14:id>{920D5984-EFD7-404D-BEA8-1F09A88EA817}</x14:id>
        </ext>
      </extLst>
    </cfRule>
  </conditionalFormatting>
  <conditionalFormatting sqref="R3:R43">
    <cfRule type="dataBar" priority="4">
      <dataBar>
        <cfvo type="min" val="0"/>
        <cfvo type="max" val="0"/>
        <color rgb="FF008AEF"/>
      </dataBar>
      <extLst xmlns:x14="http://schemas.microsoft.com/office/spreadsheetml/2009/9/main">
        <ext uri="{B025F937-C7B1-47D3-B67F-A62EFF666E3E}">
          <x14:id>{95304140-C9DA-445F-89FC-5ECA1AA2FA7D}</x14:id>
        </ext>
      </extLst>
    </cfRule>
  </conditionalFormatting>
  <conditionalFormatting sqref="R3:R43">
    <cfRule type="dataBar" priority="3">
      <dataBar>
        <cfvo type="min" val="0"/>
        <cfvo type="max" val="0"/>
        <color rgb="FFD6007B"/>
      </dataBar>
      <extLst xmlns:x14="http://schemas.microsoft.com/office/spreadsheetml/2009/9/main">
        <ext uri="{B025F937-C7B1-47D3-B67F-A62EFF666E3E}">
          <x14:id>{B8AD1124-77DE-45C8-8B94-925FE0356D21}</x14:id>
        </ext>
      </extLst>
    </cfRule>
  </conditionalFormatting>
  <conditionalFormatting sqref="R3:R43">
    <cfRule type="dataBar" priority="2">
      <dataBar>
        <cfvo type="min" val="0"/>
        <cfvo type="max" val="0"/>
        <color rgb="FFFF555A"/>
      </dataBar>
      <extLst xmlns:x14="http://schemas.microsoft.com/office/spreadsheetml/2009/9/main">
        <ext uri="{B025F937-C7B1-47D3-B67F-A62EFF666E3E}">
          <x14:id>{FD63D562-B700-4592-B8FA-93EBFDBDE43A}</x14:id>
        </ext>
      </extLst>
    </cfRule>
  </conditionalFormatting>
  <conditionalFormatting sqref="T4:T43">
    <cfRule type="dataBar" priority="1">
      <dataBar>
        <cfvo type="min" val="0"/>
        <cfvo type="max" val="0"/>
        <color rgb="FF638EC6"/>
      </dataBar>
      <extLst xmlns:x14="http://schemas.microsoft.com/office/spreadsheetml/2009/9/main">
        <ext uri="{B025F937-C7B1-47D3-B67F-A62EFF666E3E}">
          <x14:id>{41C580DF-2C03-4174-B7CD-C301155DAF0E}</x14:id>
        </ext>
      </extLst>
    </cfRule>
  </conditionalFormatting>
  <hyperlinks>
    <hyperlink ref="L3" r:id="rId1" display="Aprovado"/>
    <hyperlink ref="L4" r:id="rId2" display="Aprovado"/>
    <hyperlink ref="L5" r:id="rId3" display="Aprovado"/>
    <hyperlink ref="L6" r:id="rId4" display="Antigo"/>
    <hyperlink ref="L8" r:id="rId5" display="Aprovado"/>
    <hyperlink ref="L7" r:id="rId6" display="Aprovado"/>
    <hyperlink ref="L9" r:id="rId7" display="Aprovado "/>
    <hyperlink ref="L10" r:id="rId8" display="Aprovado"/>
    <hyperlink ref="L11" r:id="rId9" display="Aprovado "/>
    <hyperlink ref="L12" r:id="rId10" display="Aprovado "/>
    <hyperlink ref="L13" r:id="rId11" display="Aprovado"/>
    <hyperlink ref="L14" r:id="rId12" display="Aprovado"/>
    <hyperlink ref="L16" r:id="rId13" display="Aprovado"/>
    <hyperlink ref="L19" r:id="rId14" display="Aprovado"/>
    <hyperlink ref="L21" r:id="rId15" display="Aprovado"/>
    <hyperlink ref="L22" r:id="rId16" display="Aprovado"/>
    <hyperlink ref="L23" r:id="rId17" display="Aprovado "/>
    <hyperlink ref="L24" r:id="rId18" display="Aprovado"/>
    <hyperlink ref="L27" r:id="rId19" display="Aprovado"/>
    <hyperlink ref="L31" r:id="rId20" display="Aprovado"/>
    <hyperlink ref="L32" r:id="rId21" display="Aprovado"/>
    <hyperlink ref="L33" r:id="rId22" display="Aprovado"/>
    <hyperlink ref="L34" r:id="rId23" display="Aprovado "/>
    <hyperlink ref="L37" r:id="rId24"/>
    <hyperlink ref="L38" r:id="rId25" display="Aprovado"/>
    <hyperlink ref="L39" r:id="rId26" display="Aprovado"/>
    <hyperlink ref="L40" r:id="rId27" display="Aprovado"/>
    <hyperlink ref="L41" r:id="rId28" display="Aprovado "/>
    <hyperlink ref="L43" r:id="rId29" display="Aprovado"/>
    <hyperlink ref="R2" r:id="rId30" display="Pesquisas SISBIO _x000a_(até 2023)"/>
    <hyperlink ref="Q2" r:id="rId31"/>
    <hyperlink ref="L15" r:id="rId32"/>
    <hyperlink ref="L28" r:id="rId33"/>
    <hyperlink ref="L29" r:id="rId34" display="2021"/>
    <hyperlink ref="L30" r:id="rId35" display="2011"/>
    <hyperlink ref="L35" r:id="rId36"/>
    <hyperlink ref="M2" r:id="rId37"/>
    <hyperlink ref="AI14" r:id="rId38"/>
    <hyperlink ref="AI25" r:id="rId39"/>
    <hyperlink ref="AI26" r:id="rId40"/>
    <hyperlink ref="J2" r:id="rId41" display="Numero de analistas/técnicos atuando na UC ou NGI (DIPLAN)"/>
    <hyperlink ref="B3" r:id="rId42" display="ÁREA DE PROTEÇÃO AMBIENTAL DA BALEIA FRANCA"/>
    <hyperlink ref="B4" r:id="rId43" display="ÁREA DE PROTEÇÃO AMBIENTAL DE IBIRAPUITÃ"/>
    <hyperlink ref="B5" r:id="rId44" display="ESTAÇÃO ECOLÓGICA DO TAIM"/>
    <hyperlink ref="B6" r:id="rId45" display="FLORESTA NACIONAL DE CAÇADOR"/>
    <hyperlink ref="B7" r:id="rId46" display="FLORESTA NACIONAL DE CHAPECÓ"/>
    <hyperlink ref="B8" r:id="rId47" display="FLORESTA NACIONAL DE CANELA"/>
    <hyperlink ref="B12" r:id="rId48" display="PARQUE NACIONAL DA SERRA DO ITAJAÍ"/>
    <hyperlink ref="B10" r:id="rId49" display="FLORESTA NACIONAL DE TRÊS BARRAS"/>
    <hyperlink ref="B9" r:id="rId50" display="FLORESTA NACIONAL DE SÃO FRANCISCO DE PAULA"/>
    <hyperlink ref="B11" r:id="rId51" display="PARQUE NACIONAL DA LAGOA DO PEIXE"/>
    <hyperlink ref="B13" r:id="rId52" display="PARQUE NACIONAL DE SÃO JOAQUIM"/>
    <hyperlink ref="B14" r:id="rId53" display="PARQUE NACIONAL DO IGUAÇU"/>
    <hyperlink ref="B16" r:id="rId54" display="RESERVA BIOLÓGICA DAS PEROBAS"/>
    <hyperlink ref="B15" r:id="rId55" display="REFUGIO DE VIDA SILVESTRE DA ILHA DOS LOBOS"/>
    <hyperlink ref="B17" r:id="rId56" display="ÁREA DE PROTEÇÃO AMBIENTAL DE GUARAQUEÇABA"/>
    <hyperlink ref="B18" r:id="rId57" display="ESTAÇÃO ECOLÓGICA DE GUARAQUEÇABA"/>
    <hyperlink ref="B19" r:id="rId58" display="PARQUE NACIONAL DO SUPERAGUI"/>
    <hyperlink ref="B20" r:id="rId59" display="RESERVA BIOLÓGICA BOM JESUS"/>
    <hyperlink ref="B21" r:id="rId60" display="PARQUE NACIONAL DA SERRA GERAL"/>
    <hyperlink ref="B22" r:id="rId61" display="PARQUE NACIONAL DE APARADOS DA SERRA"/>
    <hyperlink ref="B23" r:id="rId62" display="FLORESTA NACIONAL DE IRATI"/>
    <hyperlink ref="B24" r:id="rId63" display="FLORESTA NACIONAL DE PIRAÍ DO SUL"/>
    <hyperlink ref="B26" r:id="rId64" display="PARQUE NACIONAL DOS CAMPOS GERAIS"/>
    <hyperlink ref="B25" r:id="rId65" display="RESERVA BIOLÓGICA DAS ARAUCÁRIAS"/>
    <hyperlink ref="B27" r:id="rId66" display="FLORESTA NACIONAL DE ASSUNGUI"/>
    <hyperlink ref="B28" r:id="rId67" display="PARQUE NACIONAL GUARICANA"/>
    <hyperlink ref="B29" r:id="rId68" display="ÁREA DE PROTEÇÃO AMBIENTAL ANHATOMIRIM"/>
    <hyperlink ref="B30" r:id="rId69" display="ESTAÇÃO ECOLÓGICA DE CARIJÓS"/>
    <hyperlink ref="B31" r:id="rId70" display="RESERVA BIOLÓGICA MARINHA DO ARVOREDO"/>
    <hyperlink ref="B32" r:id="rId71" display="RESERVA EXTRATIVISTA MARINHA DO PIRAJUBAÉ"/>
    <hyperlink ref="B33" r:id="rId72" display="ÁREA DE RELEVANTE INTERESSE ECOLÓGICO SERRA DA ABELHA"/>
    <hyperlink ref="B34" r:id="rId73" display="FLORESTA NACIONAL DE IBIRAMA"/>
    <hyperlink ref="B35" r:id="rId74" display="PARQUE NACIONAL DE SAINT-HILAIRE/LANGE"/>
    <hyperlink ref="B36" r:id="rId75" display="PARQUE NACIONAL MARINHO DAS ILHAS DOS CURRAIS"/>
    <hyperlink ref="B37" r:id="rId76" display="ESTAÇÃO ECOLÓGICA DE MATA PRETA"/>
    <hyperlink ref="B38" r:id="rId77" display="PARQUE NACIONAL DAS ARAUCÁRIAS"/>
    <hyperlink ref="B39" r:id="rId78" display="REFÚGIO DE VIDA SILVESTRE DOS CAMPOS DE PALMAS"/>
    <hyperlink ref="B43" r:id="rId79" display="PARQUE NACIONAL DE ILHA GRANDE"/>
    <hyperlink ref="B42" r:id="rId80" display="ÁREA DE PROTEÇÃO AMBIENTAL DAS ILHAS E VÁRZEAS DO RIO PARANÁ"/>
    <hyperlink ref="B41" r:id="rId81" display="FLORESTA NACIONAL DE PASSO FUNDO"/>
    <hyperlink ref="L17" r:id="rId82" display="PG 1995"/>
  </hyperlinks>
  <pageMargins left="0.511811024" right="0.511811024" top="0.78740157499999996" bottom="0.78740157499999996" header="0.31496062000000002" footer="0.31496062000000002"/>
  <pageSetup paperSize="9" orientation="portrait" r:id="rId83"/>
  <tableParts count="1">
    <tablePart r:id="rId84"/>
  </tableParts>
  <extLst xmlns:x14="http://schemas.microsoft.com/office/spreadsheetml/2009/9/main">
    <ext uri="{78C0D931-6437-407d-A8EE-F0AAD7539E65}">
      <x14:conditionalFormattings>
        <x14:conditionalFormatting xmlns:xm="http://schemas.microsoft.com/office/excel/2006/main">
          <x14:cfRule type="dataBar" id="{C8427220-22D8-4C53-A027-4FF2834275B4}">
            <x14:dataBar minLength="0" maxLength="100" gradient="0">
              <x14:cfvo type="autoMin"/>
              <x14:cfvo type="autoMax"/>
              <x14:negativeFillColor rgb="FFFF0000"/>
              <x14:axisColor rgb="FF000000"/>
            </x14:dataBar>
          </x14:cfRule>
          <xm:sqref>R3:R43</xm:sqref>
        </x14:conditionalFormatting>
        <x14:conditionalFormatting xmlns:xm="http://schemas.microsoft.com/office/excel/2006/main">
          <x14:cfRule type="dataBar" id="{C8C9A761-4EAA-4254-88FF-D4725282CB90}">
            <x14:dataBar minLength="0" maxLength="100" gradient="0">
              <x14:cfvo type="autoMin"/>
              <x14:cfvo type="autoMax"/>
              <x14:negativeFillColor rgb="FFFF0000"/>
              <x14:axisColor rgb="FF000000"/>
            </x14:dataBar>
          </x14:cfRule>
          <xm:sqref>S3:S43</xm:sqref>
        </x14:conditionalFormatting>
        <x14:conditionalFormatting xmlns:xm="http://schemas.microsoft.com/office/excel/2006/main">
          <x14:cfRule type="dataBar" id="{47DC742B-7C6A-472F-A5AC-219C9F7E569F}">
            <x14:dataBar minLength="0" maxLength="100" gradient="0">
              <x14:cfvo type="autoMin"/>
              <x14:cfvo type="autoMax"/>
              <x14:negativeFillColor rgb="FFFF0000"/>
              <x14:axisColor rgb="FF000000"/>
            </x14:dataBar>
          </x14:cfRule>
          <x14:cfRule type="dataBar" id="{1045538F-B359-42C2-9620-63BBB825F32D}">
            <x14:dataBar minLength="0" maxLength="100" border="1" negativeBarBorderColorSameAsPositive="0">
              <x14:cfvo type="autoMin"/>
              <x14:cfvo type="autoMax"/>
              <x14:borderColor rgb="FF63C384"/>
              <x14:negativeFillColor rgb="FFFF0000"/>
              <x14:negativeBorderColor rgb="FFFF0000"/>
              <x14:axisColor rgb="FF000000"/>
            </x14:dataBar>
          </x14:cfRule>
          <xm:sqref>S3:X43</xm:sqref>
        </x14:conditionalFormatting>
        <x14:conditionalFormatting xmlns:xm="http://schemas.microsoft.com/office/excel/2006/main">
          <x14:cfRule type="dataBar" id="{E0AC5FD3-BC00-4C8E-9AE2-0687CB02F665}">
            <x14:dataBar minLength="0" maxLength="100" gradient="0">
              <x14:cfvo type="autoMin"/>
              <x14:cfvo type="autoMax"/>
              <x14:negativeFillColor rgb="FFFF0000"/>
              <x14:axisColor rgb="FF000000"/>
            </x14:dataBar>
          </x14:cfRule>
          <xm:sqref>V3:V43</xm:sqref>
        </x14:conditionalFormatting>
        <x14:conditionalFormatting xmlns:xm="http://schemas.microsoft.com/office/excel/2006/main">
          <x14:cfRule type="dataBar" id="{920D5984-EFD7-404D-BEA8-1F09A88EA817}">
            <x14:dataBar minLength="0" maxLength="100" gradient="0">
              <x14:cfvo type="autoMin"/>
              <x14:cfvo type="autoMax"/>
              <x14:negativeFillColor rgb="FFFF0000"/>
              <x14:axisColor rgb="FF000000"/>
            </x14:dataBar>
          </x14:cfRule>
          <xm:sqref>T3:U43 W3:X43</xm:sqref>
        </x14:conditionalFormatting>
        <x14:conditionalFormatting xmlns:xm="http://schemas.microsoft.com/office/excel/2006/main">
          <x14:cfRule type="dataBar" id="{95304140-C9DA-445F-89FC-5ECA1AA2FA7D}">
            <x14:dataBar minLength="0" maxLength="100" gradient="0">
              <x14:cfvo type="autoMin"/>
              <x14:cfvo type="autoMax"/>
              <x14:negativeFillColor rgb="FFFF0000"/>
              <x14:axisColor rgb="FF000000"/>
            </x14:dataBar>
          </x14:cfRule>
          <xm:sqref>R3:R43</xm:sqref>
        </x14:conditionalFormatting>
        <x14:conditionalFormatting xmlns:xm="http://schemas.microsoft.com/office/excel/2006/main">
          <x14:cfRule type="dataBar" id="{B8AD1124-77DE-45C8-8B94-925FE0356D21}">
            <x14:dataBar minLength="0" maxLength="100" gradient="0">
              <x14:cfvo type="autoMin"/>
              <x14:cfvo type="autoMax"/>
              <x14:negativeFillColor rgb="FFFF0000"/>
              <x14:axisColor rgb="FF000000"/>
            </x14:dataBar>
          </x14:cfRule>
          <xm:sqref>R3:R43</xm:sqref>
        </x14:conditionalFormatting>
        <x14:conditionalFormatting xmlns:xm="http://schemas.microsoft.com/office/excel/2006/main">
          <x14:cfRule type="dataBar" id="{FD63D562-B700-4592-B8FA-93EBFDBDE43A}">
            <x14:dataBar minLength="0" maxLength="100" gradient="0">
              <x14:cfvo type="autoMin"/>
              <x14:cfvo type="autoMax"/>
              <x14:negativeFillColor rgb="FFFF0000"/>
              <x14:axisColor rgb="FF000000"/>
            </x14:dataBar>
          </x14:cfRule>
          <xm:sqref>R3:R43</xm:sqref>
        </x14:conditionalFormatting>
        <x14:conditionalFormatting xmlns:xm="http://schemas.microsoft.com/office/excel/2006/main">
          <x14:cfRule type="dataBar" id="{41C580DF-2C03-4174-B7CD-C301155DAF0E}">
            <x14:dataBar minLength="0" maxLength="100" gradient="0">
              <x14:cfvo type="autoMin"/>
              <x14:cfvo type="autoMax"/>
              <x14:negativeFillColor rgb="FFFF0000"/>
              <x14:axisColor rgb="FF000000"/>
            </x14:dataBar>
          </x14:cfRule>
          <xm:sqref>T4:T43</xm:sqref>
        </x14:conditionalFormatting>
      </x14:conditionalFormattings>
    </ext>
  </extLst>
</worksheet>
</file>

<file path=xl/worksheets/sheet3.xml><?xml version="1.0" encoding="utf-8"?>
<worksheet xmlns="http://schemas.openxmlformats.org/spreadsheetml/2006/main" xmlns:r="http://schemas.openxmlformats.org/officeDocument/2006/relationships">
  <sheetPr>
    <tabColor rgb="FF008080"/>
  </sheetPr>
  <dimension ref="A1:Y446"/>
  <sheetViews>
    <sheetView showGridLines="0" zoomScale="80" zoomScaleNormal="80" workbookViewId="0">
      <pane ySplit="3" topLeftCell="A428" activePane="bottomLeft" state="frozen"/>
      <selection pane="bottomLeft" activeCell="D440" sqref="D440"/>
    </sheetView>
  </sheetViews>
  <sheetFormatPr defaultRowHeight="32.25" customHeight="1"/>
  <cols>
    <col min="1" max="1" width="16.5703125" style="152" customWidth="1"/>
    <col min="2" max="2" width="33.5703125" style="173" customWidth="1"/>
    <col min="3" max="3" width="33.28515625" style="152" customWidth="1"/>
    <col min="4" max="4" width="24.28515625" style="152" customWidth="1"/>
    <col min="5" max="5" width="19.140625" style="152" customWidth="1"/>
    <col min="6" max="6" width="26.7109375" style="152" customWidth="1"/>
    <col min="7" max="7" width="32.5703125" style="60" customWidth="1"/>
    <col min="8" max="8" width="8.42578125" style="152" customWidth="1"/>
    <col min="9" max="9" width="25.85546875" style="152" customWidth="1"/>
    <col min="10" max="10" width="30.28515625" style="191" customWidth="1"/>
    <col min="11" max="11" width="10.5703125" style="165" customWidth="1"/>
    <col min="12" max="12" width="15.42578125" style="165" customWidth="1"/>
    <col min="13" max="13" width="26.5703125" style="152" customWidth="1"/>
    <col min="14" max="14" width="33.42578125" style="170" customWidth="1"/>
    <col min="15" max="15" width="25.5703125" style="152" customWidth="1"/>
    <col min="16" max="17" width="25.28515625" style="152" customWidth="1"/>
    <col min="18" max="18" width="26.140625" style="152" customWidth="1"/>
    <col min="19" max="19" width="21.7109375" style="152" customWidth="1"/>
    <col min="20" max="20" width="21.7109375" style="170" customWidth="1"/>
    <col min="21" max="21" width="20.42578125" style="170" customWidth="1"/>
    <col min="22" max="22" width="14.42578125" style="170" customWidth="1"/>
    <col min="23" max="23" width="13.28515625" style="152" customWidth="1"/>
    <col min="24" max="24" width="20.85546875" style="152" customWidth="1"/>
    <col min="25" max="25" width="18.7109375" style="152" customWidth="1"/>
    <col min="26" max="26" width="8.140625" style="152" customWidth="1"/>
    <col min="27" max="27" width="17.140625" style="152" customWidth="1"/>
    <col min="28" max="29" width="32.5703125" style="152" customWidth="1"/>
    <col min="30" max="30" width="34.140625" style="152" customWidth="1"/>
    <col min="31" max="16384" width="9.140625" style="152"/>
  </cols>
  <sheetData>
    <row r="1" spans="1:25" ht="24.75" customHeight="1">
      <c r="A1" s="219"/>
      <c r="B1" s="220" t="s">
        <v>2323</v>
      </c>
      <c r="C1" s="219"/>
      <c r="D1" s="221"/>
      <c r="E1" s="221"/>
      <c r="F1" s="221"/>
      <c r="G1" s="221"/>
      <c r="H1" s="221"/>
      <c r="I1" s="221"/>
      <c r="J1" s="222"/>
      <c r="K1" s="223"/>
      <c r="L1" s="223"/>
      <c r="M1" s="166"/>
      <c r="N1" s="166"/>
      <c r="O1" s="167"/>
      <c r="P1" s="167"/>
      <c r="Q1" s="168" t="s">
        <v>2031</v>
      </c>
      <c r="R1" s="167"/>
      <c r="S1" s="167"/>
      <c r="T1" s="166"/>
      <c r="U1" s="166"/>
      <c r="V1" s="166"/>
      <c r="W1" s="167"/>
      <c r="X1" s="167"/>
      <c r="Y1" s="167"/>
    </row>
    <row r="2" spans="1:25" ht="18.75" customHeight="1">
      <c r="A2" s="219"/>
      <c r="B2" s="224" t="s">
        <v>2324</v>
      </c>
      <c r="C2" s="219"/>
      <c r="D2" s="221"/>
      <c r="E2" s="221"/>
      <c r="F2" s="221"/>
      <c r="G2" s="221"/>
      <c r="H2" s="221"/>
      <c r="I2" s="221"/>
      <c r="J2" s="225" t="s">
        <v>574</v>
      </c>
      <c r="K2" s="223"/>
      <c r="L2" s="223"/>
      <c r="M2" s="166"/>
      <c r="N2" s="166"/>
      <c r="O2" s="167"/>
      <c r="P2" s="167"/>
      <c r="Q2" s="167"/>
      <c r="R2" s="167"/>
      <c r="S2" s="167"/>
      <c r="T2" s="166"/>
      <c r="U2" s="166"/>
      <c r="V2" s="166"/>
      <c r="W2" s="167"/>
      <c r="X2" s="167"/>
      <c r="Y2" s="167"/>
    </row>
    <row r="3" spans="1:25" ht="31.5" customHeight="1">
      <c r="A3" s="226" t="s">
        <v>2321</v>
      </c>
      <c r="B3" s="228" t="s">
        <v>575</v>
      </c>
      <c r="C3" s="219" t="s">
        <v>576</v>
      </c>
      <c r="D3" s="219" t="s">
        <v>163</v>
      </c>
      <c r="E3" s="227" t="s">
        <v>577</v>
      </c>
      <c r="F3" s="219" t="s">
        <v>578</v>
      </c>
      <c r="G3" s="229" t="s">
        <v>1702</v>
      </c>
      <c r="H3" s="219" t="s">
        <v>26</v>
      </c>
      <c r="I3" s="227" t="s">
        <v>2487</v>
      </c>
      <c r="J3" s="227" t="s">
        <v>859</v>
      </c>
      <c r="K3" s="227" t="s">
        <v>2500</v>
      </c>
      <c r="L3" s="227" t="s">
        <v>2501</v>
      </c>
      <c r="M3" s="45" t="s">
        <v>579</v>
      </c>
      <c r="N3" s="44" t="s">
        <v>580</v>
      </c>
      <c r="O3" s="45" t="s">
        <v>581</v>
      </c>
      <c r="P3" s="45" t="s">
        <v>582</v>
      </c>
      <c r="Q3" s="45" t="s">
        <v>583</v>
      </c>
      <c r="R3" s="45" t="s">
        <v>584</v>
      </c>
      <c r="S3" s="45" t="s">
        <v>585</v>
      </c>
      <c r="T3" s="44" t="s">
        <v>586</v>
      </c>
      <c r="U3" s="44" t="s">
        <v>587</v>
      </c>
      <c r="V3" s="44" t="s">
        <v>588</v>
      </c>
      <c r="W3" s="45" t="s">
        <v>27</v>
      </c>
      <c r="X3" s="45" t="s">
        <v>28</v>
      </c>
      <c r="Y3" s="45" t="s">
        <v>589</v>
      </c>
    </row>
    <row r="4" spans="1:25" ht="16.5" customHeight="1">
      <c r="A4" s="152" t="s">
        <v>590</v>
      </c>
      <c r="B4" s="169" t="s">
        <v>612</v>
      </c>
      <c r="C4" s="152" t="str">
        <f>VLOOKUP(Tabela134[[#This Row],[Espécie]],Tabela2[[#All],[Espécie]:[Categoria de risco]],2,FALSE)</f>
        <v>jacutinga</v>
      </c>
      <c r="D4" s="152" t="str">
        <f>VLOOKUP(Tabela134[[#This Row],[Espécie]],Tabela2[[#All],[Espécie]:[Categoria de risco]],3,FALSE)</f>
        <v>Aves</v>
      </c>
      <c r="E4" s="152" t="str">
        <f>VLOOKUP(Tabela134[[#This Row],[Espécie]],Tabela2[[#All],[Espécie]:[Categoria de risco]],4,FALSE)</f>
        <v>Em Perigo</v>
      </c>
      <c r="G4" s="60" t="s">
        <v>613</v>
      </c>
      <c r="H4" s="152" t="str">
        <f>VLOOKUP(Tabela134[[#This Row],[UC]],Tabela6[[#All],[UC]:[UF]],2,FALSE)</f>
        <v>SP/PR</v>
      </c>
      <c r="I4" s="230" t="s">
        <v>592</v>
      </c>
      <c r="J4" s="192" t="str">
        <f>IFERROR(VLOOKUP(Tabela134[[#This Row],[Espécie]],Tabela8[[#All],[Espécie]:[Nome fantasia]],4, FALSE), 0)</f>
        <v>Aves da Mata Atlântica - 2º ciclo</v>
      </c>
      <c r="K4" s="165" t="s">
        <v>592</v>
      </c>
      <c r="L4" s="165" t="s">
        <v>592</v>
      </c>
    </row>
    <row r="5" spans="1:25" ht="16.5" customHeight="1">
      <c r="A5" s="152" t="s">
        <v>590</v>
      </c>
      <c r="B5" s="169" t="s">
        <v>612</v>
      </c>
      <c r="C5" s="152" t="str">
        <f>VLOOKUP(Tabela134[[#This Row],[Espécie]],Tabela2[[#All],[Espécie]:[Categoria de risco]],2,FALSE)</f>
        <v>jacutinga</v>
      </c>
      <c r="D5" s="152" t="str">
        <f>VLOOKUP(Tabela134[[#This Row],[Espécie]],Tabela2[[#All],[Espécie]:[Categoria de risco]],3,FALSE)</f>
        <v>Aves</v>
      </c>
      <c r="E5" s="152" t="str">
        <f>VLOOKUP(Tabela134[[#This Row],[Espécie]],Tabela2[[#All],[Espécie]:[Categoria de risco]],4,FALSE)</f>
        <v>Em Perigo</v>
      </c>
      <c r="G5" s="60" t="s">
        <v>703</v>
      </c>
      <c r="H5" s="152" t="str">
        <f>VLOOKUP(Tabela134[[#This Row],[UC]],Tabela6[[#All],[UC]:[UF]],2,FALSE)</f>
        <v>MS/PR</v>
      </c>
      <c r="I5" s="230" t="s">
        <v>592</v>
      </c>
      <c r="J5" s="192" t="str">
        <f>IFERROR(VLOOKUP(Tabela134[[#This Row],[Espécie]],Tabela8[[#All],[Espécie]:[Nome fantasia]],4, FALSE), 0)</f>
        <v>Aves da Mata Atlântica - 2º ciclo</v>
      </c>
      <c r="K5" s="165" t="s">
        <v>592</v>
      </c>
      <c r="L5" s="165" t="s">
        <v>592</v>
      </c>
    </row>
    <row r="6" spans="1:25" ht="16.5" customHeight="1">
      <c r="A6" s="152" t="s">
        <v>590</v>
      </c>
      <c r="B6" s="169" t="s">
        <v>612</v>
      </c>
      <c r="C6" s="152" t="str">
        <f>VLOOKUP(Tabela134[[#This Row],[Espécie]],Tabela2[[#All],[Espécie]:[Categoria de risco]],2,FALSE)</f>
        <v>jacutinga</v>
      </c>
      <c r="D6" s="152" t="str">
        <f>VLOOKUP(Tabela134[[#This Row],[Espécie]],Tabela2[[#All],[Espécie]:[Categoria de risco]],3,FALSE)</f>
        <v>Aves</v>
      </c>
      <c r="E6" s="152" t="str">
        <f>VLOOKUP(Tabela134[[#This Row],[Espécie]],Tabela2[[#All],[Espécie]:[Categoria de risco]],4,FALSE)</f>
        <v>Em Perigo</v>
      </c>
      <c r="G6" s="60" t="s">
        <v>715</v>
      </c>
      <c r="H6" s="152" t="str">
        <f>VLOOKUP(Tabela134[[#This Row],[UC]],Tabela6[[#All],[UC]:[UF]],2,FALSE)</f>
        <v>PR</v>
      </c>
      <c r="I6" s="230" t="s">
        <v>592</v>
      </c>
      <c r="J6" s="192" t="str">
        <f>IFERROR(VLOOKUP(Tabela134[[#This Row],[Espécie]],Tabela8[[#All],[Espécie]:[Nome fantasia]],4, FALSE), 0)</f>
        <v>Aves da Mata Atlântica - 2º ciclo</v>
      </c>
      <c r="K6" s="165" t="s">
        <v>592</v>
      </c>
      <c r="L6" s="165" t="s">
        <v>592</v>
      </c>
    </row>
    <row r="7" spans="1:25" ht="16.5" customHeight="1">
      <c r="A7" s="152" t="s">
        <v>590</v>
      </c>
      <c r="B7" s="171" t="s">
        <v>704</v>
      </c>
      <c r="C7" s="152" t="str">
        <f>VLOOKUP(Tabela134[[#This Row],[Espécie]],Tabela2[[#All],[Espécie]:[Categoria de risco]],2,FALSE)</f>
        <v>galito</v>
      </c>
      <c r="D7" s="152" t="str">
        <f>VLOOKUP(Tabela134[[#This Row],[Espécie]],Tabela2[[#All],[Espécie]:[Categoria de risco]],3,FALSE)</f>
        <v>Aves</v>
      </c>
      <c r="E7" s="152" t="str">
        <f>VLOOKUP(Tabela134[[#This Row],[Espécie]],Tabela2[[#All],[Espécie]:[Categoria de risco]],4,FALSE)</f>
        <v>Vulnerável</v>
      </c>
      <c r="G7" s="60" t="s">
        <v>703</v>
      </c>
      <c r="H7" s="152" t="str">
        <f>VLOOKUP(Tabela134[[#This Row],[UC]],Tabela6[[#All],[UC]:[UF]],2,FALSE)</f>
        <v>MS/PR</v>
      </c>
      <c r="I7" s="230" t="s">
        <v>592</v>
      </c>
      <c r="J7" s="192" t="str">
        <f>IFERROR(VLOOKUP(Tabela134[[#This Row],[Espécie]],Tabela8[[#All],[Espécie]:[Nome fantasia]],4, FALSE), 0)</f>
        <v>Aves da Mata Atlântica - 2º ciclo</v>
      </c>
      <c r="K7" s="165" t="s">
        <v>592</v>
      </c>
      <c r="L7" s="165" t="s">
        <v>592</v>
      </c>
    </row>
    <row r="8" spans="1:25" ht="16.5" customHeight="1">
      <c r="A8" s="175" t="s">
        <v>2320</v>
      </c>
      <c r="B8" s="147" t="s">
        <v>1708</v>
      </c>
      <c r="C8" s="152" t="str">
        <f>VLOOKUP(Tabela134[[#This Row],[Espécie]],Tabela2[[#All],[Espécie]:[Categoria de risco]],2,FALSE)</f>
        <v>tubarão-rabudo, tubarão-raposa, tubarão-saltador</v>
      </c>
      <c r="D8" s="179" t="str">
        <f>VLOOKUP(Tabela134[[#This Row],[Espécie]],Tabela2[[#All],[Espécie]:[Categoria de risco]],3,FALSE)</f>
        <v>Tubarões e Raias</v>
      </c>
      <c r="E8" s="152" t="str">
        <f>VLOOKUP(Tabela134[[#This Row],[Espécie]],Tabela2[[#All],[Espécie]:[Categoria de risco]],4,FALSE)</f>
        <v>Criticamente em Perigo</v>
      </c>
      <c r="F8" s="175" t="s">
        <v>2313</v>
      </c>
      <c r="G8" s="174" t="s">
        <v>91</v>
      </c>
      <c r="H8" s="152" t="str">
        <f>VLOOKUP(Tabela134[[#This Row],[UC]],Tabela6[[#All],[UC]:[UF]],2,FALSE)</f>
        <v>SC</v>
      </c>
      <c r="I8" s="230" t="s">
        <v>592</v>
      </c>
      <c r="J8" s="192" t="str">
        <f>IFERROR(VLOOKUP(Tabela134[[#This Row],[Espécie]],Tabela8[[#All],[Espécie]:[Nome fantasia]],4, FALSE), 0)</f>
        <v xml:space="preserve">Tubarões - 2º ciclo </v>
      </c>
      <c r="K8" s="165" t="s">
        <v>610</v>
      </c>
      <c r="L8" s="165" t="s">
        <v>610</v>
      </c>
    </row>
    <row r="9" spans="1:25" ht="16.5" customHeight="1">
      <c r="A9" s="152" t="s">
        <v>590</v>
      </c>
      <c r="B9" s="171" t="s">
        <v>604</v>
      </c>
      <c r="C9" s="152" t="str">
        <f>VLOOKUP(Tabela134[[#This Row],[Espécie]],Tabela2[[#All],[Espécie]:[Categoria de risco]],2,FALSE)</f>
        <v>Barbado, Bugio-preto, Guariba-preto</v>
      </c>
      <c r="D9" s="152" t="str">
        <f>VLOOKUP(Tabela134[[#This Row],[Espécie]],Tabela2[[#All],[Espécie]:[Categoria de risco]],3,FALSE)</f>
        <v>Mamíferos</v>
      </c>
      <c r="E9" s="152" t="str">
        <f>VLOOKUP(Tabela134[[#This Row],[Espécie]],Tabela2[[#All],[Espécie]:[Categoria de risco]],4,FALSE)</f>
        <v>Quase ameaçada</v>
      </c>
      <c r="F9" s="152" t="s">
        <v>605</v>
      </c>
      <c r="G9" s="60" t="s">
        <v>602</v>
      </c>
      <c r="H9" s="152" t="str">
        <f>VLOOKUP(Tabela134[[#This Row],[UC]],Tabela6[[#All],[UC]:[UF]],2,FALSE)</f>
        <v>SP/PR/MS</v>
      </c>
      <c r="I9" s="230" t="s">
        <v>610</v>
      </c>
      <c r="J9" s="192">
        <f>IFERROR(VLOOKUP(Tabela134[[#This Row],[Espécie]],Tabela8[[#All],[Espécie]:[Nome fantasia]],4, FALSE), 0)</f>
        <v>0</v>
      </c>
      <c r="K9" s="165" t="s">
        <v>592</v>
      </c>
      <c r="L9" s="165" t="s">
        <v>592</v>
      </c>
    </row>
    <row r="10" spans="1:25" ht="16.5" customHeight="1">
      <c r="A10" s="152" t="s">
        <v>590</v>
      </c>
      <c r="B10" s="171" t="s">
        <v>604</v>
      </c>
      <c r="C10" s="152" t="str">
        <f>VLOOKUP(Tabela134[[#This Row],[Espécie]],Tabela2[[#All],[Espécie]:[Categoria de risco]],2,FALSE)</f>
        <v>Barbado, Bugio-preto, Guariba-preto</v>
      </c>
      <c r="D10" s="152" t="str">
        <f>VLOOKUP(Tabela134[[#This Row],[Espécie]],Tabela2[[#All],[Espécie]:[Categoria de risco]],3,FALSE)</f>
        <v>Mamíferos</v>
      </c>
      <c r="E10" s="152" t="str">
        <f>VLOOKUP(Tabela134[[#This Row],[Espécie]],Tabela2[[#All],[Espécie]:[Categoria de risco]],4,FALSE)</f>
        <v>Quase ameaçada</v>
      </c>
      <c r="F10" s="152" t="s">
        <v>605</v>
      </c>
      <c r="G10" s="60" t="s">
        <v>726</v>
      </c>
      <c r="H10" s="152" t="str">
        <f>VLOOKUP(Tabela134[[#This Row],[UC]],Tabela6[[#All],[UC]:[UF]],2,FALSE)</f>
        <v>PR</v>
      </c>
      <c r="I10" s="230" t="s">
        <v>610</v>
      </c>
      <c r="J10" s="192">
        <f>IFERROR(VLOOKUP(Tabela134[[#This Row],[Espécie]],Tabela8[[#All],[Espécie]:[Nome fantasia]],4, FALSE), 0)</f>
        <v>0</v>
      </c>
      <c r="K10" s="165" t="s">
        <v>592</v>
      </c>
      <c r="L10" s="165" t="s">
        <v>592</v>
      </c>
    </row>
    <row r="11" spans="1:25" ht="16.5" customHeight="1">
      <c r="A11" s="152" t="s">
        <v>590</v>
      </c>
      <c r="B11" s="171" t="s">
        <v>631</v>
      </c>
      <c r="C11" s="152" t="str">
        <f>VLOOKUP(Tabela134[[#This Row],[Espécie]],Tabela2[[#All],[Espécie]:[Categoria de risco]],2,FALSE)</f>
        <v>bugio-ruivo</v>
      </c>
      <c r="D11" s="152" t="str">
        <f>VLOOKUP(Tabela134[[#This Row],[Espécie]],Tabela2[[#All],[Espécie]:[Categoria de risco]],3,FALSE)</f>
        <v>Mamíferos</v>
      </c>
      <c r="E11" s="152" t="str">
        <f>VLOOKUP(Tabela134[[#This Row],[Espécie]],Tabela2[[#All],[Espécie]:[Categoria de risco]],4,FALSE)</f>
        <v>Em perigo</v>
      </c>
      <c r="F11" s="172" t="s">
        <v>657</v>
      </c>
      <c r="G11" s="60" t="s">
        <v>656</v>
      </c>
      <c r="H11" s="152" t="str">
        <f>VLOOKUP(Tabela134[[#This Row],[UC]],Tabela6[[#All],[UC]:[UF]],2,FALSE)</f>
        <v>RS</v>
      </c>
      <c r="I11" s="230" t="s">
        <v>610</v>
      </c>
      <c r="J11" s="192">
        <f>IFERROR(VLOOKUP(Tabela134[[#This Row],[Espécie]],Tabela8[[#All],[Espécie]:[Nome fantasia]],4, FALSE), 0)</f>
        <v>0</v>
      </c>
      <c r="K11" s="165" t="s">
        <v>610</v>
      </c>
      <c r="L11" s="165" t="s">
        <v>610</v>
      </c>
    </row>
    <row r="12" spans="1:25" ht="19.5" customHeight="1">
      <c r="A12" s="152" t="s">
        <v>622</v>
      </c>
      <c r="B12" s="171" t="s">
        <v>631</v>
      </c>
      <c r="C12" s="152" t="str">
        <f>VLOOKUP(Tabela134[[#This Row],[Espécie]],Tabela2[[#All],[Espécie]:[Categoria de risco]],2,FALSE)</f>
        <v>bugio-ruivo</v>
      </c>
      <c r="D12" s="152" t="str">
        <f>VLOOKUP(Tabela134[[#This Row],[Espécie]],Tabela2[[#All],[Espécie]:[Categoria de risco]],3,FALSE)</f>
        <v>Mamíferos</v>
      </c>
      <c r="E12" s="152" t="str">
        <f>VLOOKUP(Tabela134[[#This Row],[Espécie]],Tabela2[[#All],[Espécie]:[Categoria de risco]],4,FALSE)</f>
        <v>Em perigo</v>
      </c>
      <c r="G12" s="60" t="s">
        <v>629</v>
      </c>
      <c r="H12" s="152" t="str">
        <f>VLOOKUP(Tabela134[[#This Row],[UC]],Tabela6[[#All],[UC]:[UF]],2,FALSE)</f>
        <v>SC</v>
      </c>
      <c r="I12" s="230" t="s">
        <v>610</v>
      </c>
      <c r="J12" s="192">
        <f>IFERROR(VLOOKUP(Tabela134[[#This Row],[Espécie]],Tabela8[[#All],[Espécie]:[Nome fantasia]],4, FALSE), 0)</f>
        <v>0</v>
      </c>
      <c r="K12" s="165" t="s">
        <v>592</v>
      </c>
      <c r="L12" s="165" t="s">
        <v>592</v>
      </c>
    </row>
    <row r="13" spans="1:25" ht="19.5" customHeight="1">
      <c r="A13" s="152" t="s">
        <v>622</v>
      </c>
      <c r="B13" s="171" t="s">
        <v>631</v>
      </c>
      <c r="C13" s="152" t="str">
        <f>VLOOKUP(Tabela134[[#This Row],[Espécie]],Tabela2[[#All],[Espécie]:[Categoria de risco]],2,FALSE)</f>
        <v>bugio-ruivo</v>
      </c>
      <c r="D13" s="152" t="str">
        <f>VLOOKUP(Tabela134[[#This Row],[Espécie]],Tabela2[[#All],[Espécie]:[Categoria de risco]],3,FALSE)</f>
        <v>Mamíferos</v>
      </c>
      <c r="E13" s="152" t="str">
        <f>VLOOKUP(Tabela134[[#This Row],[Espécie]],Tabela2[[#All],[Espécie]:[Categoria de risco]],4,FALSE)</f>
        <v>Em perigo</v>
      </c>
      <c r="G13" s="60" t="s">
        <v>665</v>
      </c>
      <c r="H13" s="152" t="str">
        <f>VLOOKUP(Tabela134[[#This Row],[UC]],Tabela6[[#All],[UC]:[UF]],2,FALSE)</f>
        <v>SC</v>
      </c>
      <c r="I13" s="230" t="s">
        <v>610</v>
      </c>
      <c r="J13" s="192">
        <f>IFERROR(VLOOKUP(Tabela134[[#This Row],[Espécie]],Tabela8[[#All],[Espécie]:[Nome fantasia]],4, FALSE), 0)</f>
        <v>0</v>
      </c>
      <c r="K13" s="165" t="s">
        <v>592</v>
      </c>
      <c r="L13" s="165" t="s">
        <v>592</v>
      </c>
    </row>
    <row r="14" spans="1:25" ht="19.5" customHeight="1">
      <c r="A14" s="152" t="s">
        <v>622</v>
      </c>
      <c r="B14" s="171" t="s">
        <v>631</v>
      </c>
      <c r="C14" s="152" t="str">
        <f>VLOOKUP(Tabela134[[#This Row],[Espécie]],Tabela2[[#All],[Espécie]:[Categoria de risco]],2,FALSE)</f>
        <v>bugio-ruivo</v>
      </c>
      <c r="D14" s="152" t="str">
        <f>VLOOKUP(Tabela134[[#This Row],[Espécie]],Tabela2[[#All],[Espécie]:[Categoria de risco]],3,FALSE)</f>
        <v>Mamíferos</v>
      </c>
      <c r="E14" s="152" t="str">
        <f>VLOOKUP(Tabela134[[#This Row],[Espécie]],Tabela2[[#All],[Espécie]:[Categoria de risco]],4,FALSE)</f>
        <v>Em perigo</v>
      </c>
      <c r="G14" s="60" t="s">
        <v>668</v>
      </c>
      <c r="H14" s="152" t="str">
        <f>VLOOKUP(Tabela134[[#This Row],[UC]],Tabela6[[#All],[UC]:[UF]],2,FALSE)</f>
        <v>PR</v>
      </c>
      <c r="I14" s="230" t="s">
        <v>610</v>
      </c>
      <c r="J14" s="192">
        <f>IFERROR(VLOOKUP(Tabela134[[#This Row],[Espécie]],Tabela8[[#All],[Espécie]:[Nome fantasia]],4, FALSE), 0)</f>
        <v>0</v>
      </c>
      <c r="K14" s="165" t="s">
        <v>592</v>
      </c>
      <c r="L14" s="165" t="s">
        <v>592</v>
      </c>
    </row>
    <row r="15" spans="1:25" ht="19.5" customHeight="1">
      <c r="A15" s="152" t="s">
        <v>590</v>
      </c>
      <c r="B15" s="173" t="s">
        <v>615</v>
      </c>
      <c r="C15" s="152" t="str">
        <f>VLOOKUP(Tabela134[[#This Row],[Espécie]],Tabela2[[#All],[Espécie]:[Categoria de risco]],2,FALSE)</f>
        <v>gavião-pombo-pequeno</v>
      </c>
      <c r="D15" s="152" t="str">
        <f>VLOOKUP(Tabela134[[#This Row],[Espécie]],Tabela2[[#All],[Espécie]:[Categoria de risco]],3,FALSE)</f>
        <v>Aves</v>
      </c>
      <c r="E15" s="152" t="str">
        <f>VLOOKUP(Tabela134[[#This Row],[Espécie]],Tabela2[[#All],[Espécie]:[Categoria de risco]],4,FALSE)</f>
        <v>Vulnerável</v>
      </c>
      <c r="F15" s="60" t="s">
        <v>2254</v>
      </c>
      <c r="G15" s="60" t="s">
        <v>613</v>
      </c>
      <c r="H15" s="152" t="str">
        <f>VLOOKUP(Tabela134[[#This Row],[UC]],Tabela6[[#All],[UC]:[UF]],2,FALSE)</f>
        <v>SP/PR</v>
      </c>
      <c r="I15" s="230" t="s">
        <v>592</v>
      </c>
      <c r="J15" s="192" t="str">
        <f>IFERROR(VLOOKUP(Tabela134[[#This Row],[Espécie]],Tabela8[[#All],[Espécie]:[Nome fantasia]],4, FALSE), 0)</f>
        <v>Aves da Mata Atlântica - 2º ciclo</v>
      </c>
      <c r="K15" s="165" t="s">
        <v>592</v>
      </c>
      <c r="L15" s="165" t="s">
        <v>592</v>
      </c>
    </row>
    <row r="16" spans="1:25" ht="19.5" customHeight="1">
      <c r="A16" s="152" t="s">
        <v>590</v>
      </c>
      <c r="B16" s="173" t="s">
        <v>615</v>
      </c>
      <c r="C16" s="152" t="str">
        <f>VLOOKUP(Tabela134[[#This Row],[Espécie]],Tabela2[[#All],[Espécie]:[Categoria de risco]],2,FALSE)</f>
        <v>gavião-pombo-pequeno</v>
      </c>
      <c r="D16" s="152" t="str">
        <f>VLOOKUP(Tabela134[[#This Row],[Espécie]],Tabela2[[#All],[Espécie]:[Categoria de risco]],3,FALSE)</f>
        <v>Aves</v>
      </c>
      <c r="E16" s="152" t="str">
        <f>VLOOKUP(Tabela134[[#This Row],[Espécie]],Tabela2[[#All],[Espécie]:[Categoria de risco]],4,FALSE)</f>
        <v>Vulnerável</v>
      </c>
      <c r="F16" s="60" t="s">
        <v>2254</v>
      </c>
      <c r="G16" s="60" t="s">
        <v>688</v>
      </c>
      <c r="H16" s="152" t="str">
        <f>VLOOKUP(Tabela134[[#This Row],[UC]],Tabela6[[#All],[UC]:[UF]],2,FALSE)</f>
        <v>SC</v>
      </c>
      <c r="I16" s="230" t="s">
        <v>592</v>
      </c>
      <c r="J16" s="192" t="str">
        <f>IFERROR(VLOOKUP(Tabela134[[#This Row],[Espécie]],Tabela8[[#All],[Espécie]:[Nome fantasia]],4, FALSE), 0)</f>
        <v>Aves da Mata Atlântica - 2º ciclo</v>
      </c>
      <c r="K16" s="165" t="s">
        <v>592</v>
      </c>
      <c r="L16" s="165" t="s">
        <v>592</v>
      </c>
    </row>
    <row r="17" spans="1:12" ht="19.5" customHeight="1">
      <c r="A17" s="152" t="s">
        <v>590</v>
      </c>
      <c r="B17" s="173" t="s">
        <v>615</v>
      </c>
      <c r="C17" s="152" t="str">
        <f>VLOOKUP(Tabela134[[#This Row],[Espécie]],Tabela2[[#All],[Espécie]:[Categoria de risco]],2,FALSE)</f>
        <v>gavião-pombo-pequeno</v>
      </c>
      <c r="D17" s="152" t="str">
        <f>VLOOKUP(Tabela134[[#This Row],[Espécie]],Tabela2[[#All],[Espécie]:[Categoria de risco]],3,FALSE)</f>
        <v>Aves</v>
      </c>
      <c r="E17" s="152" t="str">
        <f>VLOOKUP(Tabela134[[#This Row],[Espécie]],Tabela2[[#All],[Espécie]:[Categoria de risco]],4,FALSE)</f>
        <v>Vulnerável</v>
      </c>
      <c r="F17" s="60" t="s">
        <v>2254</v>
      </c>
      <c r="G17" s="60" t="s">
        <v>718</v>
      </c>
      <c r="H17" s="152" t="str">
        <f>VLOOKUP(Tabela134[[#This Row],[UC]],Tabela6[[#All],[UC]:[UF]],2,FALSE)</f>
        <v>SP/PR</v>
      </c>
      <c r="I17" s="230" t="s">
        <v>592</v>
      </c>
      <c r="J17" s="192" t="str">
        <f>IFERROR(VLOOKUP(Tabela134[[#This Row],[Espécie]],Tabela8[[#All],[Espécie]:[Nome fantasia]],4, FALSE), 0)</f>
        <v>Aves da Mata Atlântica - 2º ciclo</v>
      </c>
      <c r="K17" s="165" t="s">
        <v>592</v>
      </c>
      <c r="L17" s="165" t="s">
        <v>592</v>
      </c>
    </row>
    <row r="18" spans="1:12" ht="19.5" customHeight="1">
      <c r="A18" s="152" t="s">
        <v>622</v>
      </c>
      <c r="B18" s="171" t="s">
        <v>615</v>
      </c>
      <c r="C18" s="152" t="str">
        <f>VLOOKUP(Tabela134[[#This Row],[Espécie]],Tabela2[[#All],[Espécie]:[Categoria de risco]],2,FALSE)</f>
        <v>gavião-pombo-pequeno</v>
      </c>
      <c r="D18" s="152" t="str">
        <f>VLOOKUP(Tabela134[[#This Row],[Espécie]],Tabela2[[#All],[Espécie]:[Categoria de risco]],3,FALSE)</f>
        <v>Aves</v>
      </c>
      <c r="E18" s="152" t="str">
        <f>VLOOKUP(Tabela134[[#This Row],[Espécie]],Tabela2[[#All],[Espécie]:[Categoria de risco]],4,FALSE)</f>
        <v>Vulnerável</v>
      </c>
      <c r="G18" s="60" t="s">
        <v>629</v>
      </c>
      <c r="H18" s="152" t="str">
        <f>VLOOKUP(Tabela134[[#This Row],[UC]],Tabela6[[#All],[UC]:[UF]],2,FALSE)</f>
        <v>SC</v>
      </c>
      <c r="I18" s="230" t="s">
        <v>592</v>
      </c>
      <c r="J18" s="192" t="str">
        <f>IFERROR(VLOOKUP(Tabela134[[#This Row],[Espécie]],Tabela8[[#All],[Espécie]:[Nome fantasia]],4, FALSE), 0)</f>
        <v>Aves da Mata Atlântica - 2º ciclo</v>
      </c>
      <c r="K18" s="165" t="s">
        <v>592</v>
      </c>
      <c r="L18" s="165" t="s">
        <v>592</v>
      </c>
    </row>
    <row r="19" spans="1:12" ht="19.5" customHeight="1">
      <c r="A19" s="152" t="s">
        <v>622</v>
      </c>
      <c r="B19" s="171" t="s">
        <v>615</v>
      </c>
      <c r="C19" s="152" t="str">
        <f>VLOOKUP(Tabela134[[#This Row],[Espécie]],Tabela2[[#All],[Espécie]:[Categoria de risco]],2,FALSE)</f>
        <v>gavião-pombo-pequeno</v>
      </c>
      <c r="D19" s="152" t="str">
        <f>VLOOKUP(Tabela134[[#This Row],[Espécie]],Tabela2[[#All],[Espécie]:[Categoria de risco]],3,FALSE)</f>
        <v>Aves</v>
      </c>
      <c r="E19" s="152" t="str">
        <f>VLOOKUP(Tabela134[[#This Row],[Espécie]],Tabela2[[#All],[Espécie]:[Categoria de risco]],4,FALSE)</f>
        <v>Vulnerável</v>
      </c>
      <c r="G19" s="60" t="s">
        <v>665</v>
      </c>
      <c r="H19" s="152" t="str">
        <f>VLOOKUP(Tabela134[[#This Row],[UC]],Tabela6[[#All],[UC]:[UF]],2,FALSE)</f>
        <v>SC</v>
      </c>
      <c r="I19" s="230" t="s">
        <v>592</v>
      </c>
      <c r="J19" s="192" t="str">
        <f>IFERROR(VLOOKUP(Tabela134[[#This Row],[Espécie]],Tabela8[[#All],[Espécie]:[Nome fantasia]],4, FALSE), 0)</f>
        <v>Aves da Mata Atlântica - 2º ciclo</v>
      </c>
      <c r="K19" s="165" t="s">
        <v>592</v>
      </c>
      <c r="L19" s="165" t="s">
        <v>592</v>
      </c>
    </row>
    <row r="20" spans="1:12" ht="19.5" customHeight="1">
      <c r="A20" s="152" t="s">
        <v>590</v>
      </c>
      <c r="B20" s="171" t="s">
        <v>614</v>
      </c>
      <c r="C20" s="152" t="str">
        <f>VLOOKUP(Tabela134[[#This Row],[Espécie]],Tabela2[[#All],[Espécie]:[Categoria de risco]],2,FALSE)</f>
        <v>papagaio-de-cara-roxa</v>
      </c>
      <c r="D20" s="152" t="str">
        <f>VLOOKUP(Tabela134[[#This Row],[Espécie]],Tabela2[[#All],[Espécie]:[Categoria de risco]],3,FALSE)</f>
        <v>Aves</v>
      </c>
      <c r="E20" s="152" t="str">
        <f>VLOOKUP(Tabela134[[#This Row],[Espécie]],Tabela2[[#All],[Espécie]:[Categoria de risco]],4,FALSE)</f>
        <v>Quase ameaçada</v>
      </c>
      <c r="G20" s="60" t="s">
        <v>613</v>
      </c>
      <c r="H20" s="152" t="str">
        <f>VLOOKUP(Tabela134[[#This Row],[UC]],Tabela6[[#All],[UC]:[UF]],2,FALSE)</f>
        <v>SP/PR</v>
      </c>
      <c r="I20" s="230" t="s">
        <v>592</v>
      </c>
      <c r="J20" s="192" t="str">
        <f>IFERROR(VLOOKUP(Tabela134[[#This Row],[Espécie]],Tabela8[[#All],[Espécie]:[Nome fantasia]],4, FALSE), 0)</f>
        <v>Aves da Mata Atlântica - 2º ciclo</v>
      </c>
      <c r="K20" s="165" t="s">
        <v>592</v>
      </c>
      <c r="L20" s="165" t="s">
        <v>592</v>
      </c>
    </row>
    <row r="21" spans="1:12" ht="19.5" customHeight="1">
      <c r="A21" s="152" t="s">
        <v>590</v>
      </c>
      <c r="B21" s="169" t="s">
        <v>614</v>
      </c>
      <c r="C21" s="152" t="str">
        <f>VLOOKUP(Tabela134[[#This Row],[Espécie]],Tabela2[[#All],[Espécie]:[Categoria de risco]],2,FALSE)</f>
        <v>papagaio-de-cara-roxa</v>
      </c>
      <c r="D21" s="152" t="str">
        <f>VLOOKUP(Tabela134[[#This Row],[Espécie]],Tabela2[[#All],[Espécie]:[Categoria de risco]],3,FALSE)</f>
        <v>Aves</v>
      </c>
      <c r="E21" s="152" t="str">
        <f>VLOOKUP(Tabela134[[#This Row],[Espécie]],Tabela2[[#All],[Espécie]:[Categoria de risco]],4,FALSE)</f>
        <v>Quase ameaçada</v>
      </c>
      <c r="G21" s="60" t="s">
        <v>651</v>
      </c>
      <c r="H21" s="152" t="str">
        <f>VLOOKUP(Tabela134[[#This Row],[UC]],Tabela6[[#All],[UC]:[UF]],2,FALSE)</f>
        <v>PR</v>
      </c>
      <c r="I21" s="230" t="s">
        <v>592</v>
      </c>
      <c r="J21" s="192" t="str">
        <f>IFERROR(VLOOKUP(Tabela134[[#This Row],[Espécie]],Tabela8[[#All],[Espécie]:[Nome fantasia]],4, FALSE), 0)</f>
        <v>Aves da Mata Atlântica - 2º ciclo</v>
      </c>
      <c r="K21" s="165" t="s">
        <v>610</v>
      </c>
      <c r="L21" s="165" t="s">
        <v>592</v>
      </c>
    </row>
    <row r="22" spans="1:12" ht="19.5" customHeight="1">
      <c r="A22" s="152" t="s">
        <v>590</v>
      </c>
      <c r="B22" s="169" t="s">
        <v>614</v>
      </c>
      <c r="C22" s="152" t="str">
        <f>VLOOKUP(Tabela134[[#This Row],[Espécie]],Tabela2[[#All],[Espécie]:[Categoria de risco]],2,FALSE)</f>
        <v>papagaio-de-cara-roxa</v>
      </c>
      <c r="D22" s="152" t="str">
        <f>VLOOKUP(Tabela134[[#This Row],[Espécie]],Tabela2[[#All],[Espécie]:[Categoria de risco]],3,FALSE)</f>
        <v>Aves</v>
      </c>
      <c r="E22" s="152" t="str">
        <f>VLOOKUP(Tabela134[[#This Row],[Espécie]],Tabela2[[#All],[Espécie]:[Categoria de risco]],4,FALSE)</f>
        <v>Quase ameaçada</v>
      </c>
      <c r="G22" s="60" t="s">
        <v>709</v>
      </c>
      <c r="H22" s="152" t="str">
        <f>VLOOKUP(Tabela134[[#This Row],[UC]],Tabela6[[#All],[UC]:[UF]],2,FALSE)</f>
        <v>PR</v>
      </c>
      <c r="I22" s="230" t="s">
        <v>592</v>
      </c>
      <c r="J22" s="192" t="str">
        <f>IFERROR(VLOOKUP(Tabela134[[#This Row],[Espécie]],Tabela8[[#All],[Espécie]:[Nome fantasia]],4, FALSE), 0)</f>
        <v>Aves da Mata Atlântica - 2º ciclo</v>
      </c>
      <c r="K22" s="165" t="s">
        <v>610</v>
      </c>
      <c r="L22" s="165" t="s">
        <v>592</v>
      </c>
    </row>
    <row r="23" spans="1:12" ht="19.5" customHeight="1">
      <c r="A23" s="152" t="s">
        <v>590</v>
      </c>
      <c r="B23" s="171" t="s">
        <v>614</v>
      </c>
      <c r="C23" s="152" t="str">
        <f>VLOOKUP(Tabela134[[#This Row],[Espécie]],Tabela2[[#All],[Espécie]:[Categoria de risco]],2,FALSE)</f>
        <v>papagaio-de-cara-roxa</v>
      </c>
      <c r="D23" s="152" t="str">
        <f>VLOOKUP(Tabela134[[#This Row],[Espécie]],Tabela2[[#All],[Espécie]:[Categoria de risco]],3,FALSE)</f>
        <v>Aves</v>
      </c>
      <c r="E23" s="152" t="str">
        <f>VLOOKUP(Tabela134[[#This Row],[Espécie]],Tabela2[[#All],[Espécie]:[Categoria de risco]],4,FALSE)</f>
        <v>Quase ameaçada</v>
      </c>
      <c r="G23" s="60" t="s">
        <v>718</v>
      </c>
      <c r="H23" s="152" t="str">
        <f>VLOOKUP(Tabela134[[#This Row],[UC]],Tabela6[[#All],[UC]:[UF]],2,FALSE)</f>
        <v>SP/PR</v>
      </c>
      <c r="I23" s="230" t="s">
        <v>592</v>
      </c>
      <c r="J23" s="192" t="str">
        <f>IFERROR(VLOOKUP(Tabela134[[#This Row],[Espécie]],Tabela8[[#All],[Espécie]:[Nome fantasia]],4, FALSE), 0)</f>
        <v>Aves da Mata Atlântica - 2º ciclo</v>
      </c>
      <c r="K23" s="165" t="s">
        <v>592</v>
      </c>
      <c r="L23" s="165" t="s">
        <v>592</v>
      </c>
    </row>
    <row r="24" spans="1:12" ht="19.5" customHeight="1">
      <c r="A24" s="152" t="s">
        <v>590</v>
      </c>
      <c r="B24" s="169" t="s">
        <v>544</v>
      </c>
      <c r="C24" s="152" t="str">
        <f>VLOOKUP(Tabela134[[#This Row],[Espécie]],Tabela2[[#All],[Espécie]:[Categoria de risco]],2,FALSE)</f>
        <v>papagaio-charão</v>
      </c>
      <c r="D24" s="152" t="str">
        <f>VLOOKUP(Tabela134[[#This Row],[Espécie]],Tabela2[[#All],[Espécie]:[Categoria de risco]],3,FALSE)</f>
        <v>Aves</v>
      </c>
      <c r="E24" s="152" t="str">
        <f>VLOOKUP(Tabela134[[#This Row],[Espécie]],Tabela2[[#All],[Espécie]:[Categoria de risco]],4,FALSE)</f>
        <v>Vulnerável</v>
      </c>
      <c r="G24" s="174" t="s">
        <v>633</v>
      </c>
      <c r="H24" s="152" t="str">
        <f>VLOOKUP(Tabela134[[#This Row],[UC]],Tabela6[[#All],[UC]:[UF]],2,FALSE)</f>
        <v>RS</v>
      </c>
      <c r="I24" s="230" t="s">
        <v>592</v>
      </c>
      <c r="J24" s="192" t="str">
        <f>IFERROR(VLOOKUP(Tabela134[[#This Row],[Espécie]],Tabela8[[#All],[Espécie]:[Nome fantasia]],4, FALSE), 0)</f>
        <v>Aves da Mata Atlântica - 2º ciclo</v>
      </c>
      <c r="K24" s="165" t="s">
        <v>592</v>
      </c>
      <c r="L24" s="165" t="s">
        <v>592</v>
      </c>
    </row>
    <row r="25" spans="1:12" ht="19.5" customHeight="1">
      <c r="A25" s="152" t="s">
        <v>590</v>
      </c>
      <c r="B25" s="171" t="s">
        <v>544</v>
      </c>
      <c r="C25" s="152" t="str">
        <f>VLOOKUP(Tabela134[[#This Row],[Espécie]],Tabela2[[#All],[Espécie]:[Categoria de risco]],2,FALSE)</f>
        <v>papagaio-charão</v>
      </c>
      <c r="D25" s="152" t="str">
        <f>VLOOKUP(Tabela134[[#This Row],[Espécie]],Tabela2[[#All],[Espécie]:[Categoria de risco]],3,FALSE)</f>
        <v>Aves</v>
      </c>
      <c r="E25" s="152" t="str">
        <f>VLOOKUP(Tabela134[[#This Row],[Espécie]],Tabela2[[#All],[Espécie]:[Categoria de risco]],4,FALSE)</f>
        <v>Vulnerável</v>
      </c>
      <c r="G25" s="60" t="s">
        <v>656</v>
      </c>
      <c r="H25" s="152" t="str">
        <f>VLOOKUP(Tabela134[[#This Row],[UC]],Tabela6[[#All],[UC]:[UF]],2,FALSE)</f>
        <v>RS</v>
      </c>
      <c r="I25" s="230" t="s">
        <v>592</v>
      </c>
      <c r="J25" s="192" t="str">
        <f>IFERROR(VLOOKUP(Tabela134[[#This Row],[Espécie]],Tabela8[[#All],[Espécie]:[Nome fantasia]],4, FALSE), 0)</f>
        <v>Aves da Mata Atlântica - 2º ciclo</v>
      </c>
      <c r="K25" s="165" t="s">
        <v>610</v>
      </c>
      <c r="L25" s="165" t="s">
        <v>610</v>
      </c>
    </row>
    <row r="26" spans="1:12" ht="19.5" customHeight="1">
      <c r="A26" s="152" t="s">
        <v>590</v>
      </c>
      <c r="B26" s="169" t="s">
        <v>544</v>
      </c>
      <c r="C26" s="152" t="str">
        <f>VLOOKUP(Tabela134[[#This Row],[Espécie]],Tabela2[[#All],[Espécie]:[Categoria de risco]],2,FALSE)</f>
        <v>papagaio-charão</v>
      </c>
      <c r="D26" s="152" t="str">
        <f>VLOOKUP(Tabela134[[#This Row],[Espécie]],Tabela2[[#All],[Espécie]:[Categoria de risco]],3,FALSE)</f>
        <v>Aves</v>
      </c>
      <c r="E26" s="152" t="str">
        <f>VLOOKUP(Tabela134[[#This Row],[Espécie]],Tabela2[[#All],[Espécie]:[Categoria de risco]],4,FALSE)</f>
        <v>Vulnerável</v>
      </c>
      <c r="G26" s="174" t="s">
        <v>667</v>
      </c>
      <c r="H26" s="152" t="str">
        <f>VLOOKUP(Tabela134[[#This Row],[UC]],Tabela6[[#All],[UC]:[UF]],2,FALSE)</f>
        <v>RS</v>
      </c>
      <c r="I26" s="230" t="s">
        <v>592</v>
      </c>
      <c r="J26" s="192" t="str">
        <f>IFERROR(VLOOKUP(Tabela134[[#This Row],[Espécie]],Tabela8[[#All],[Espécie]:[Nome fantasia]],4, FALSE), 0)</f>
        <v>Aves da Mata Atlântica - 2º ciclo</v>
      </c>
      <c r="K26" s="165" t="s">
        <v>592</v>
      </c>
      <c r="L26" s="165" t="s">
        <v>592</v>
      </c>
    </row>
    <row r="27" spans="1:12" ht="19.5" customHeight="1">
      <c r="A27" s="152" t="s">
        <v>590</v>
      </c>
      <c r="B27" s="171" t="s">
        <v>544</v>
      </c>
      <c r="C27" s="152" t="str">
        <f>VLOOKUP(Tabela134[[#This Row],[Espécie]],Tabela2[[#All],[Espécie]:[Categoria de risco]],2,FALSE)</f>
        <v>papagaio-charão</v>
      </c>
      <c r="D27" s="152" t="str">
        <f>VLOOKUP(Tabela134[[#This Row],[Espécie]],Tabela2[[#All],[Espécie]:[Categoria de risco]],3,FALSE)</f>
        <v>Aves</v>
      </c>
      <c r="E27" s="152" t="str">
        <f>VLOOKUP(Tabela134[[#This Row],[Espécie]],Tabela2[[#All],[Espécie]:[Categoria de risco]],4,FALSE)</f>
        <v>Vulnerável</v>
      </c>
      <c r="G27" s="60" t="s">
        <v>670</v>
      </c>
      <c r="H27" s="152" t="str">
        <f>VLOOKUP(Tabela134[[#This Row],[UC]],Tabela6[[#All],[UC]:[UF]],2,FALSE)</f>
        <v>RS</v>
      </c>
      <c r="I27" s="230" t="s">
        <v>592</v>
      </c>
      <c r="J27" s="192" t="str">
        <f>IFERROR(VLOOKUP(Tabela134[[#This Row],[Espécie]],Tabela8[[#All],[Espécie]:[Nome fantasia]],4, FALSE), 0)</f>
        <v>Aves da Mata Atlântica - 2º ciclo</v>
      </c>
      <c r="K27" s="165" t="s">
        <v>592</v>
      </c>
      <c r="L27" s="165" t="s">
        <v>610</v>
      </c>
    </row>
    <row r="28" spans="1:12" ht="19.5" customHeight="1">
      <c r="A28" s="152" t="s">
        <v>590</v>
      </c>
      <c r="B28" s="171" t="s">
        <v>544</v>
      </c>
      <c r="C28" s="152" t="str">
        <f>VLOOKUP(Tabela134[[#This Row],[Espécie]],Tabela2[[#All],[Espécie]:[Categoria de risco]],2,FALSE)</f>
        <v>papagaio-charão</v>
      </c>
      <c r="D28" s="152" t="str">
        <f>VLOOKUP(Tabela134[[#This Row],[Espécie]],Tabela2[[#All],[Espécie]:[Categoria de risco]],3,FALSE)</f>
        <v>Aves</v>
      </c>
      <c r="E28" s="152" t="str">
        <f>VLOOKUP(Tabela134[[#This Row],[Espécie]],Tabela2[[#All],[Espécie]:[Categoria de risco]],4,FALSE)</f>
        <v>Vulnerável</v>
      </c>
      <c r="G28" s="60" t="s">
        <v>692</v>
      </c>
      <c r="H28" s="152" t="str">
        <f>VLOOKUP(Tabela134[[#This Row],[UC]],Tabela6[[#All],[UC]:[UF]],2,FALSE)</f>
        <v>SC/RS</v>
      </c>
      <c r="I28" s="230" t="s">
        <v>592</v>
      </c>
      <c r="J28" s="192" t="str">
        <f>IFERROR(VLOOKUP(Tabela134[[#This Row],[Espécie]],Tabela8[[#All],[Espécie]:[Nome fantasia]],4, FALSE), 0)</f>
        <v>Aves da Mata Atlântica - 2º ciclo</v>
      </c>
      <c r="K28" s="165" t="s">
        <v>610</v>
      </c>
      <c r="L28" s="165" t="s">
        <v>592</v>
      </c>
    </row>
    <row r="29" spans="1:12" ht="19.5" customHeight="1">
      <c r="A29" s="152" t="s">
        <v>590</v>
      </c>
      <c r="B29" s="171" t="s">
        <v>544</v>
      </c>
      <c r="C29" s="152" t="str">
        <f>VLOOKUP(Tabela134[[#This Row],[Espécie]],Tabela2[[#All],[Espécie]:[Categoria de risco]],2,FALSE)</f>
        <v>papagaio-charão</v>
      </c>
      <c r="D29" s="152" t="str">
        <f>VLOOKUP(Tabela134[[#This Row],[Espécie]],Tabela2[[#All],[Espécie]:[Categoria de risco]],3,FALSE)</f>
        <v>Aves</v>
      </c>
      <c r="E29" s="152" t="str">
        <f>VLOOKUP(Tabela134[[#This Row],[Espécie]],Tabela2[[#All],[Espécie]:[Categoria de risco]],4,FALSE)</f>
        <v>Vulnerável</v>
      </c>
      <c r="G29" s="60" t="s">
        <v>700</v>
      </c>
      <c r="H29" s="152" t="str">
        <f>VLOOKUP(Tabela134[[#This Row],[UC]],Tabela6[[#All],[UC]:[UF]],2,FALSE)</f>
        <v>SC/RS</v>
      </c>
      <c r="I29" s="230" t="s">
        <v>592</v>
      </c>
      <c r="J29" s="192" t="str">
        <f>IFERROR(VLOOKUP(Tabela134[[#This Row],[Espécie]],Tabela8[[#All],[Espécie]:[Nome fantasia]],4, FALSE), 0)</f>
        <v>Aves da Mata Atlântica - 2º ciclo</v>
      </c>
      <c r="K29" s="165" t="s">
        <v>610</v>
      </c>
      <c r="L29" s="165" t="s">
        <v>592</v>
      </c>
    </row>
    <row r="30" spans="1:12" ht="19.5" customHeight="1">
      <c r="A30" s="152" t="s">
        <v>590</v>
      </c>
      <c r="B30" s="171" t="s">
        <v>544</v>
      </c>
      <c r="C30" s="152" t="str">
        <f>VLOOKUP(Tabela134[[#This Row],[Espécie]],Tabela2[[#All],[Espécie]:[Categoria de risco]],2,FALSE)</f>
        <v>papagaio-charão</v>
      </c>
      <c r="D30" s="152" t="str">
        <f>VLOOKUP(Tabela134[[#This Row],[Espécie]],Tabela2[[#All],[Espécie]:[Categoria de risco]],3,FALSE)</f>
        <v>Aves</v>
      </c>
      <c r="E30" s="152" t="str">
        <f>VLOOKUP(Tabela134[[#This Row],[Espécie]],Tabela2[[#All],[Espécie]:[Categoria de risco]],4,FALSE)</f>
        <v>Vulnerável</v>
      </c>
      <c r="G30" s="60" t="s">
        <v>711</v>
      </c>
      <c r="H30" s="152" t="str">
        <f>VLOOKUP(Tabela134[[#This Row],[UC]],Tabela6[[#All],[UC]:[UF]],2,FALSE)</f>
        <v>SC</v>
      </c>
      <c r="I30" s="230" t="s">
        <v>592</v>
      </c>
      <c r="J30" s="192" t="str">
        <f>IFERROR(VLOOKUP(Tabela134[[#This Row],[Espécie]],Tabela8[[#All],[Espécie]:[Nome fantasia]],4, FALSE), 0)</f>
        <v>Aves da Mata Atlântica - 2º ciclo</v>
      </c>
      <c r="K30" s="165" t="s">
        <v>592</v>
      </c>
      <c r="L30" s="165" t="s">
        <v>592</v>
      </c>
    </row>
    <row r="31" spans="1:12" ht="19.5" customHeight="1">
      <c r="A31" s="152" t="s">
        <v>590</v>
      </c>
      <c r="B31" s="171" t="s">
        <v>232</v>
      </c>
      <c r="C31" s="152" t="str">
        <f>VLOOKUP(Tabela134[[#This Row],[Espécie]],Tabela2[[#All],[Espécie]:[Categoria de risco]],2,FALSE)</f>
        <v>papagaio-de-peito-roxo</v>
      </c>
      <c r="D31" s="152" t="str">
        <f>VLOOKUP(Tabela134[[#This Row],[Espécie]],Tabela2[[#All],[Espécie]:[Categoria de risco]],3,FALSE)</f>
        <v>Aves</v>
      </c>
      <c r="E31" s="152" t="str">
        <f>VLOOKUP(Tabela134[[#This Row],[Espécie]],Tabela2[[#All],[Espécie]:[Categoria de risco]],4,FALSE)</f>
        <v>Vulnerável</v>
      </c>
      <c r="G31" s="60" t="s">
        <v>634</v>
      </c>
      <c r="H31" s="152" t="str">
        <f>VLOOKUP(Tabela134[[#This Row],[UC]],Tabela6[[#All],[UC]:[UF]],2,FALSE)</f>
        <v>SC</v>
      </c>
      <c r="I31" s="230" t="s">
        <v>592</v>
      </c>
      <c r="J31" s="192" t="str">
        <f>IFERROR(VLOOKUP(Tabela134[[#This Row],[Espécie]],Tabela8[[#All],[Espécie]:[Nome fantasia]],4, FALSE), 0)</f>
        <v>Aves da Mata Atlântica - 2º ciclo</v>
      </c>
      <c r="K31" s="165" t="s">
        <v>610</v>
      </c>
      <c r="L31" s="165" t="s">
        <v>592</v>
      </c>
    </row>
    <row r="32" spans="1:12" ht="19.5" customHeight="1">
      <c r="A32" s="152" t="s">
        <v>590</v>
      </c>
      <c r="B32" s="171" t="s">
        <v>232</v>
      </c>
      <c r="C32" s="152" t="str">
        <f>VLOOKUP(Tabela134[[#This Row],[Espécie]],Tabela2[[#All],[Espécie]:[Categoria de risco]],2,FALSE)</f>
        <v>papagaio-de-peito-roxo</v>
      </c>
      <c r="D32" s="152" t="str">
        <f>VLOOKUP(Tabela134[[#This Row],[Espécie]],Tabela2[[#All],[Espécie]:[Categoria de risco]],3,FALSE)</f>
        <v>Aves</v>
      </c>
      <c r="E32" s="152" t="str">
        <f>VLOOKUP(Tabela134[[#This Row],[Espécie]],Tabela2[[#All],[Espécie]:[Categoria de risco]],4,FALSE)</f>
        <v>Vulnerável</v>
      </c>
      <c r="G32" s="60" t="s">
        <v>656</v>
      </c>
      <c r="H32" s="152" t="str">
        <f>VLOOKUP(Tabela134[[#This Row],[UC]],Tabela6[[#All],[UC]:[UF]],2,FALSE)</f>
        <v>RS</v>
      </c>
      <c r="I32" s="230" t="s">
        <v>592</v>
      </c>
      <c r="J32" s="192" t="str">
        <f>IFERROR(VLOOKUP(Tabela134[[#This Row],[Espécie]],Tabela8[[#All],[Espécie]:[Nome fantasia]],4, FALSE), 0)</f>
        <v>Aves da Mata Atlântica - 2º ciclo</v>
      </c>
      <c r="K32" s="165" t="s">
        <v>610</v>
      </c>
      <c r="L32" s="165" t="s">
        <v>610</v>
      </c>
    </row>
    <row r="33" spans="1:12" ht="19.5" customHeight="1">
      <c r="A33" s="152" t="s">
        <v>590</v>
      </c>
      <c r="B33" s="171" t="s">
        <v>232</v>
      </c>
      <c r="C33" s="152" t="str">
        <f>VLOOKUP(Tabela134[[#This Row],[Espécie]],Tabela2[[#All],[Espécie]:[Categoria de risco]],2,FALSE)</f>
        <v>papagaio-de-peito-roxo</v>
      </c>
      <c r="D33" s="152" t="str">
        <f>VLOOKUP(Tabela134[[#This Row],[Espécie]],Tabela2[[#All],[Espécie]:[Categoria de risco]],3,FALSE)</f>
        <v>Aves</v>
      </c>
      <c r="E33" s="152" t="str">
        <f>VLOOKUP(Tabela134[[#This Row],[Espécie]],Tabela2[[#All],[Espécie]:[Categoria de risco]],4,FALSE)</f>
        <v>Vulnerável</v>
      </c>
      <c r="G33" s="60" t="s">
        <v>670</v>
      </c>
      <c r="H33" s="152" t="str">
        <f>VLOOKUP(Tabela134[[#This Row],[UC]],Tabela6[[#All],[UC]:[UF]],2,FALSE)</f>
        <v>RS</v>
      </c>
      <c r="I33" s="230" t="s">
        <v>592</v>
      </c>
      <c r="J33" s="192" t="str">
        <f>IFERROR(VLOOKUP(Tabela134[[#This Row],[Espécie]],Tabela8[[#All],[Espécie]:[Nome fantasia]],4, FALSE), 0)</f>
        <v>Aves da Mata Atlântica - 2º ciclo</v>
      </c>
      <c r="K33" s="165" t="s">
        <v>592</v>
      </c>
      <c r="L33" s="165" t="s">
        <v>610</v>
      </c>
    </row>
    <row r="34" spans="1:12" ht="19.5" customHeight="1">
      <c r="A34" s="152" t="s">
        <v>590</v>
      </c>
      <c r="B34" s="169" t="s">
        <v>232</v>
      </c>
      <c r="C34" s="152" t="str">
        <f>VLOOKUP(Tabela134[[#This Row],[Espécie]],Tabela2[[#All],[Espécie]:[Categoria de risco]],2,FALSE)</f>
        <v>papagaio-de-peito-roxo</v>
      </c>
      <c r="D34" s="152" t="str">
        <f>VLOOKUP(Tabela134[[#This Row],[Espécie]],Tabela2[[#All],[Espécie]:[Categoria de risco]],3,FALSE)</f>
        <v>Aves</v>
      </c>
      <c r="E34" s="152" t="str">
        <f>VLOOKUP(Tabela134[[#This Row],[Espécie]],Tabela2[[#All],[Espécie]:[Categoria de risco]],4,FALSE)</f>
        <v>Vulnerável</v>
      </c>
      <c r="G34" s="60" t="s">
        <v>688</v>
      </c>
      <c r="H34" s="152" t="str">
        <f>VLOOKUP(Tabela134[[#This Row],[UC]],Tabela6[[#All],[UC]:[UF]],2,FALSE)</f>
        <v>SC</v>
      </c>
      <c r="I34" s="230" t="s">
        <v>592</v>
      </c>
      <c r="J34" s="192" t="str">
        <f>IFERROR(VLOOKUP(Tabela134[[#This Row],[Espécie]],Tabela8[[#All],[Espécie]:[Nome fantasia]],4, FALSE), 0)</f>
        <v>Aves da Mata Atlântica - 2º ciclo</v>
      </c>
      <c r="K34" s="165" t="s">
        <v>592</v>
      </c>
      <c r="L34" s="165" t="s">
        <v>592</v>
      </c>
    </row>
    <row r="35" spans="1:12" ht="19.5" customHeight="1">
      <c r="A35" s="152" t="s">
        <v>590</v>
      </c>
      <c r="B35" s="171" t="s">
        <v>232</v>
      </c>
      <c r="C35" s="152" t="str">
        <f>VLOOKUP(Tabela134[[#This Row],[Espécie]],Tabela2[[#All],[Espécie]:[Categoria de risco]],2,FALSE)</f>
        <v>papagaio-de-peito-roxo</v>
      </c>
      <c r="D35" s="152" t="str">
        <f>VLOOKUP(Tabela134[[#This Row],[Espécie]],Tabela2[[#All],[Espécie]:[Categoria de risco]],3,FALSE)</f>
        <v>Aves</v>
      </c>
      <c r="E35" s="152" t="str">
        <f>VLOOKUP(Tabela134[[#This Row],[Espécie]],Tabela2[[#All],[Espécie]:[Categoria de risco]],4,FALSE)</f>
        <v>Vulnerável</v>
      </c>
      <c r="G35" s="60" t="s">
        <v>692</v>
      </c>
      <c r="H35" s="152" t="str">
        <f>VLOOKUP(Tabela134[[#This Row],[UC]],Tabela6[[#All],[UC]:[UF]],2,FALSE)</f>
        <v>SC/RS</v>
      </c>
      <c r="I35" s="230" t="s">
        <v>592</v>
      </c>
      <c r="J35" s="192" t="str">
        <f>IFERROR(VLOOKUP(Tabela134[[#This Row],[Espécie]],Tabela8[[#All],[Espécie]:[Nome fantasia]],4, FALSE), 0)</f>
        <v>Aves da Mata Atlântica - 2º ciclo</v>
      </c>
      <c r="K35" s="165" t="s">
        <v>610</v>
      </c>
      <c r="L35" s="165" t="s">
        <v>592</v>
      </c>
    </row>
    <row r="36" spans="1:12" ht="19.5" customHeight="1">
      <c r="A36" s="152" t="s">
        <v>590</v>
      </c>
      <c r="B36" s="169" t="s">
        <v>232</v>
      </c>
      <c r="C36" s="152" t="str">
        <f>VLOOKUP(Tabela134[[#This Row],[Espécie]],Tabela2[[#All],[Espécie]:[Categoria de risco]],2,FALSE)</f>
        <v>papagaio-de-peito-roxo</v>
      </c>
      <c r="D36" s="152" t="str">
        <f>VLOOKUP(Tabela134[[#This Row],[Espécie]],Tabela2[[#All],[Espécie]:[Categoria de risco]],3,FALSE)</f>
        <v>Aves</v>
      </c>
      <c r="E36" s="152" t="str">
        <f>VLOOKUP(Tabela134[[#This Row],[Espécie]],Tabela2[[#All],[Espécie]:[Categoria de risco]],4,FALSE)</f>
        <v>Vulnerável</v>
      </c>
      <c r="G36" s="60" t="s">
        <v>700</v>
      </c>
      <c r="H36" s="152" t="str">
        <f>VLOOKUP(Tabela134[[#This Row],[UC]],Tabela6[[#All],[UC]:[UF]],2,FALSE)</f>
        <v>SC/RS</v>
      </c>
      <c r="I36" s="230" t="s">
        <v>592</v>
      </c>
      <c r="J36" s="192" t="str">
        <f>IFERROR(VLOOKUP(Tabela134[[#This Row],[Espécie]],Tabela8[[#All],[Espécie]:[Nome fantasia]],4, FALSE), 0)</f>
        <v>Aves da Mata Atlântica - 2º ciclo</v>
      </c>
      <c r="K36" s="165" t="s">
        <v>610</v>
      </c>
      <c r="L36" s="165" t="s">
        <v>592</v>
      </c>
    </row>
    <row r="37" spans="1:12" ht="19.5" customHeight="1">
      <c r="A37" s="152" t="s">
        <v>590</v>
      </c>
      <c r="B37" s="171" t="s">
        <v>232</v>
      </c>
      <c r="C37" s="152" t="str">
        <f>VLOOKUP(Tabela134[[#This Row],[Espécie]],Tabela2[[#All],[Espécie]:[Categoria de risco]],2,FALSE)</f>
        <v>papagaio-de-peito-roxo</v>
      </c>
      <c r="D37" s="152" t="str">
        <f>VLOOKUP(Tabela134[[#This Row],[Espécie]],Tabela2[[#All],[Espécie]:[Categoria de risco]],3,FALSE)</f>
        <v>Aves</v>
      </c>
      <c r="E37" s="152" t="str">
        <f>VLOOKUP(Tabela134[[#This Row],[Espécie]],Tabela2[[#All],[Espécie]:[Categoria de risco]],4,FALSE)</f>
        <v>Vulnerável</v>
      </c>
      <c r="G37" s="60" t="s">
        <v>703</v>
      </c>
      <c r="H37" s="152" t="str">
        <f>VLOOKUP(Tabela134[[#This Row],[UC]],Tabela6[[#All],[UC]:[UF]],2,FALSE)</f>
        <v>MS/PR</v>
      </c>
      <c r="I37" s="230" t="s">
        <v>592</v>
      </c>
      <c r="J37" s="192" t="str">
        <f>IFERROR(VLOOKUP(Tabela134[[#This Row],[Espécie]],Tabela8[[#All],[Espécie]:[Nome fantasia]],4, FALSE), 0)</f>
        <v>Aves da Mata Atlântica - 2º ciclo</v>
      </c>
      <c r="K37" s="165" t="s">
        <v>592</v>
      </c>
      <c r="L37" s="165" t="s">
        <v>592</v>
      </c>
    </row>
    <row r="38" spans="1:12" ht="19.5" customHeight="1">
      <c r="A38" s="152" t="s">
        <v>622</v>
      </c>
      <c r="B38" s="171" t="s">
        <v>232</v>
      </c>
      <c r="C38" s="152" t="str">
        <f>VLOOKUP(Tabela134[[#This Row],[Espécie]],Tabela2[[#All],[Espécie]:[Categoria de risco]],2,FALSE)</f>
        <v>papagaio-de-peito-roxo</v>
      </c>
      <c r="D38" s="152" t="str">
        <f>VLOOKUP(Tabela134[[#This Row],[Espécie]],Tabela2[[#All],[Espécie]:[Categoria de risco]],3,FALSE)</f>
        <v>Aves</v>
      </c>
      <c r="E38" s="152" t="str">
        <f>VLOOKUP(Tabela134[[#This Row],[Espécie]],Tabela2[[#All],[Espécie]:[Categoria de risco]],4,FALSE)</f>
        <v>Vulnerável</v>
      </c>
      <c r="G38" s="60" t="s">
        <v>629</v>
      </c>
      <c r="H38" s="152" t="str">
        <f>VLOOKUP(Tabela134[[#This Row],[UC]],Tabela6[[#All],[UC]:[UF]],2,FALSE)</f>
        <v>SC</v>
      </c>
      <c r="I38" s="230" t="s">
        <v>592</v>
      </c>
      <c r="J38" s="192" t="str">
        <f>IFERROR(VLOOKUP(Tabela134[[#This Row],[Espécie]],Tabela8[[#All],[Espécie]:[Nome fantasia]],4, FALSE), 0)</f>
        <v>Aves da Mata Atlântica - 2º ciclo</v>
      </c>
      <c r="K38" s="165" t="s">
        <v>592</v>
      </c>
      <c r="L38" s="165" t="s">
        <v>592</v>
      </c>
    </row>
    <row r="39" spans="1:12" ht="19.5" customHeight="1">
      <c r="A39" s="152" t="s">
        <v>622</v>
      </c>
      <c r="B39" s="171" t="s">
        <v>232</v>
      </c>
      <c r="C39" s="152" t="str">
        <f>VLOOKUP(Tabela134[[#This Row],[Espécie]],Tabela2[[#All],[Espécie]:[Categoria de risco]],2,FALSE)</f>
        <v>papagaio-de-peito-roxo</v>
      </c>
      <c r="D39" s="152" t="str">
        <f>VLOOKUP(Tabela134[[#This Row],[Espécie]],Tabela2[[#All],[Espécie]:[Categoria de risco]],3,FALSE)</f>
        <v>Aves</v>
      </c>
      <c r="E39" s="152" t="str">
        <f>VLOOKUP(Tabela134[[#This Row],[Espécie]],Tabela2[[#All],[Espécie]:[Categoria de risco]],4,FALSE)</f>
        <v>Vulnerável</v>
      </c>
      <c r="G39" s="60" t="s">
        <v>655</v>
      </c>
      <c r="H39" s="152" t="str">
        <f>VLOOKUP(Tabela134[[#This Row],[UC]],Tabela6[[#All],[UC]:[UF]],2,FALSE)</f>
        <v>SC</v>
      </c>
      <c r="I39" s="230" t="s">
        <v>592</v>
      </c>
      <c r="J39" s="192" t="str">
        <f>IFERROR(VLOOKUP(Tabela134[[#This Row],[Espécie]],Tabela8[[#All],[Espécie]:[Nome fantasia]],4, FALSE), 0)</f>
        <v>Aves da Mata Atlântica - 2º ciclo</v>
      </c>
      <c r="K39" s="165" t="s">
        <v>592</v>
      </c>
      <c r="L39" s="165" t="s">
        <v>592</v>
      </c>
    </row>
    <row r="40" spans="1:12" ht="19.5" customHeight="1">
      <c r="A40" s="152" t="s">
        <v>622</v>
      </c>
      <c r="B40" s="171" t="s">
        <v>232</v>
      </c>
      <c r="C40" s="152" t="str">
        <f>VLOOKUP(Tabela134[[#This Row],[Espécie]],Tabela2[[#All],[Espécie]:[Categoria de risco]],2,FALSE)</f>
        <v>papagaio-de-peito-roxo</v>
      </c>
      <c r="D40" s="152" t="str">
        <f>VLOOKUP(Tabela134[[#This Row],[Espécie]],Tabela2[[#All],[Espécie]:[Categoria de risco]],3,FALSE)</f>
        <v>Aves</v>
      </c>
      <c r="E40" s="152" t="str">
        <f>VLOOKUP(Tabela134[[#This Row],[Espécie]],Tabela2[[#All],[Espécie]:[Categoria de risco]],4,FALSE)</f>
        <v>Vulnerável</v>
      </c>
      <c r="G40" s="60" t="s">
        <v>663</v>
      </c>
      <c r="H40" s="152" t="str">
        <f>VLOOKUP(Tabela134[[#This Row],[UC]],Tabela6[[#All],[UC]:[UF]],2,FALSE)</f>
        <v>SC</v>
      </c>
      <c r="I40" s="230" t="s">
        <v>592</v>
      </c>
      <c r="J40" s="192" t="str">
        <f>IFERROR(VLOOKUP(Tabela134[[#This Row],[Espécie]],Tabela8[[#All],[Espécie]:[Nome fantasia]],4, FALSE), 0)</f>
        <v>Aves da Mata Atlântica - 2º ciclo</v>
      </c>
      <c r="K40" s="165" t="s">
        <v>592</v>
      </c>
      <c r="L40" s="165" t="s">
        <v>592</v>
      </c>
    </row>
    <row r="41" spans="1:12" ht="19.5" customHeight="1">
      <c r="A41" s="152" t="s">
        <v>622</v>
      </c>
      <c r="B41" s="171" t="s">
        <v>232</v>
      </c>
      <c r="C41" s="152" t="str">
        <f>VLOOKUP(Tabela134[[#This Row],[Espécie]],Tabela2[[#All],[Espécie]:[Categoria de risco]],2,FALSE)</f>
        <v>papagaio-de-peito-roxo</v>
      </c>
      <c r="D41" s="152" t="str">
        <f>VLOOKUP(Tabela134[[#This Row],[Espécie]],Tabela2[[#All],[Espécie]:[Categoria de risco]],3,FALSE)</f>
        <v>Aves</v>
      </c>
      <c r="E41" s="152" t="str">
        <f>VLOOKUP(Tabela134[[#This Row],[Espécie]],Tabela2[[#All],[Espécie]:[Categoria de risco]],4,FALSE)</f>
        <v>Vulnerável</v>
      </c>
      <c r="G41" s="60" t="s">
        <v>697</v>
      </c>
      <c r="H41" s="152" t="str">
        <f>VLOOKUP(Tabela134[[#This Row],[UC]],Tabela6[[#All],[UC]:[UF]],2,FALSE)</f>
        <v>PR</v>
      </c>
      <c r="I41" s="230" t="s">
        <v>592</v>
      </c>
      <c r="J41" s="192" t="str">
        <f>IFERROR(VLOOKUP(Tabela134[[#This Row],[Espécie]],Tabela8[[#All],[Espécie]:[Nome fantasia]],4, FALSE), 0)</f>
        <v>Aves da Mata Atlântica - 2º ciclo</v>
      </c>
      <c r="K41" s="165" t="s">
        <v>610</v>
      </c>
      <c r="L41" s="165" t="s">
        <v>592</v>
      </c>
    </row>
    <row r="42" spans="1:12" ht="19.5" customHeight="1">
      <c r="A42" s="152" t="s">
        <v>622</v>
      </c>
      <c r="B42" s="171" t="s">
        <v>232</v>
      </c>
      <c r="C42" s="152" t="str">
        <f>VLOOKUP(Tabela134[[#This Row],[Espécie]],Tabela2[[#All],[Espécie]:[Categoria de risco]],2,FALSE)</f>
        <v>papagaio-de-peito-roxo</v>
      </c>
      <c r="D42" s="152" t="str">
        <f>VLOOKUP(Tabela134[[#This Row],[Espécie]],Tabela2[[#All],[Espécie]:[Categoria de risco]],3,FALSE)</f>
        <v>Aves</v>
      </c>
      <c r="E42" s="152" t="str">
        <f>VLOOKUP(Tabela134[[#This Row],[Espécie]],Tabela2[[#All],[Espécie]:[Categoria de risco]],4,FALSE)</f>
        <v>Vulnerável</v>
      </c>
      <c r="G42" s="60" t="s">
        <v>711</v>
      </c>
      <c r="H42" s="152" t="str">
        <f>VLOOKUP(Tabela134[[#This Row],[UC]],Tabela6[[#All],[UC]:[UF]],2,FALSE)</f>
        <v>SC</v>
      </c>
      <c r="I42" s="230" t="s">
        <v>592</v>
      </c>
      <c r="J42" s="192" t="str">
        <f>IFERROR(VLOOKUP(Tabela134[[#This Row],[Espécie]],Tabela8[[#All],[Espécie]:[Nome fantasia]],4, FALSE), 0)</f>
        <v>Aves da Mata Atlântica - 2º ciclo</v>
      </c>
      <c r="K42" s="165" t="s">
        <v>592</v>
      </c>
      <c r="L42" s="165" t="s">
        <v>592</v>
      </c>
    </row>
    <row r="43" spans="1:12" ht="19.5" customHeight="1">
      <c r="A43" s="152" t="s">
        <v>590</v>
      </c>
      <c r="B43" s="173" t="s">
        <v>839</v>
      </c>
      <c r="C43" s="152" t="str">
        <f>VLOOKUP(Tabela134[[#This Row],[Espécie]],Tabela2[[#All],[Espécie]:[Categoria de risco]],2,FALSE)</f>
        <v>Manjuba</v>
      </c>
      <c r="D43" s="152" t="str">
        <f>VLOOKUP(Tabela134[[#This Row],[Espécie]],Tabela2[[#All],[Espécie]:[Categoria de risco]],3,FALSE)</f>
        <v>Peixes Marinhos (ósseos)</v>
      </c>
      <c r="E43" s="152" t="str">
        <f>VLOOKUP(Tabela134[[#This Row],[Espécie]],Tabela2[[#All],[Espécie]:[Categoria de risco]],4,FALSE)</f>
        <v>Menos preocupante</v>
      </c>
      <c r="F43" s="152" t="s">
        <v>840</v>
      </c>
      <c r="G43" s="60" t="s">
        <v>770</v>
      </c>
      <c r="H43" s="152" t="str">
        <f>VLOOKUP(Tabela134[[#This Row],[UC]],Tabela6[[#All],[UC]:[UF]],2,FALSE)</f>
        <v>RS</v>
      </c>
      <c r="I43" s="230" t="s">
        <v>610</v>
      </c>
      <c r="J43" s="192">
        <f>IFERROR(VLOOKUP(Tabela134[[#This Row],[Espécie]],Tabela8[[#All],[Espécie]:[Nome fantasia]],4, FALSE), 0)</f>
        <v>0</v>
      </c>
      <c r="K43" s="165" t="s">
        <v>592</v>
      </c>
      <c r="L43" s="165" t="s">
        <v>592</v>
      </c>
    </row>
    <row r="44" spans="1:12" ht="19.5" customHeight="1">
      <c r="A44" s="152" t="s">
        <v>590</v>
      </c>
      <c r="B44" s="173" t="s">
        <v>838</v>
      </c>
      <c r="C44" s="152" t="str">
        <f>VLOOKUP(Tabela134[[#This Row],[Espécie]],Tabela2[[#All],[Espécie]:[Categoria de risco]],2,FALSE)</f>
        <v>Dente-de-leão</v>
      </c>
      <c r="D44" s="152" t="str">
        <f>VLOOKUP(Tabela134[[#This Row],[Espécie]],Tabela2[[#All],[Espécie]:[Categoria de risco]],3,FALSE)</f>
        <v>Peixes Marinhos (ósseos)</v>
      </c>
      <c r="E44" s="152" t="str">
        <f>VLOOKUP(Tabela134[[#This Row],[Espécie]],Tabela2[[#All],[Espécie]:[Categoria de risco]],4,FALSE)</f>
        <v>Menos preocupante</v>
      </c>
      <c r="G44" s="60" t="s">
        <v>770</v>
      </c>
      <c r="H44" s="152" t="str">
        <f>VLOOKUP(Tabela134[[#This Row],[UC]],Tabela6[[#All],[UC]:[UF]],2,FALSE)</f>
        <v>RS</v>
      </c>
      <c r="I44" s="230" t="s">
        <v>610</v>
      </c>
      <c r="J44" s="192">
        <f>IFERROR(VLOOKUP(Tabela134[[#This Row],[Espécie]],Tabela8[[#All],[Espécie]:[Nome fantasia]],4, FALSE), 0)</f>
        <v>0</v>
      </c>
      <c r="K44" s="165" t="s">
        <v>592</v>
      </c>
      <c r="L44" s="165" t="s">
        <v>592</v>
      </c>
    </row>
    <row r="45" spans="1:12" ht="19.5" customHeight="1">
      <c r="A45" s="175" t="s">
        <v>2320</v>
      </c>
      <c r="B45" s="147" t="s">
        <v>1259</v>
      </c>
      <c r="C45" s="152" t="str">
        <f>VLOOKUP(Tabela134[[#This Row],[Espécie]],Tabela2[[#All],[Espécie]:[Categoria de risco]],2,FALSE)</f>
        <v>caminheiro-grande</v>
      </c>
      <c r="D45" s="179" t="str">
        <f>VLOOKUP(Tabela134[[#This Row],[Espécie]],Tabela2[[#All],[Espécie]:[Categoria de risco]],3,FALSE)</f>
        <v>Aves</v>
      </c>
      <c r="E45" s="152" t="str">
        <f>VLOOKUP(Tabela134[[#This Row],[Espécie]],Tabela2[[#All],[Espécie]:[Categoria de risco]],4,FALSE)</f>
        <v>Vulnerável</v>
      </c>
      <c r="F45" s="175" t="s">
        <v>2313</v>
      </c>
      <c r="G45" s="174" t="s">
        <v>700</v>
      </c>
      <c r="H45" s="152" t="str">
        <f>VLOOKUP(Tabela134[[#This Row],[UC]],Tabela6[[#All],[UC]:[UF]],2,FALSE)</f>
        <v>SC/RS</v>
      </c>
      <c r="I45" s="230" t="s">
        <v>592</v>
      </c>
      <c r="J45" s="192" t="str">
        <f>IFERROR(VLOOKUP(Tabela134[[#This Row],[Espécie]],Tabela8[[#All],[Espécie]:[Nome fantasia]],4, FALSE), 0)</f>
        <v>Aves da Mata Atlântica - 2º ciclo</v>
      </c>
      <c r="K45" s="165" t="s">
        <v>610</v>
      </c>
      <c r="L45" s="165" t="s">
        <v>610</v>
      </c>
    </row>
    <row r="46" spans="1:12" ht="19.5" customHeight="1">
      <c r="A46" s="175" t="s">
        <v>2320</v>
      </c>
      <c r="B46" s="147" t="s">
        <v>1259</v>
      </c>
      <c r="C46" s="152" t="str">
        <f>VLOOKUP(Tabela134[[#This Row],[Espécie]],Tabela2[[#All],[Espécie]:[Categoria de risco]],2,FALSE)</f>
        <v>caminheiro-grande</v>
      </c>
      <c r="D46" s="179" t="str">
        <f>VLOOKUP(Tabela134[[#This Row],[Espécie]],Tabela2[[#All],[Espécie]:[Categoria de risco]],3,FALSE)</f>
        <v>Aves</v>
      </c>
      <c r="E46" s="152" t="str">
        <f>VLOOKUP(Tabela134[[#This Row],[Espécie]],Tabela2[[#All],[Espécie]:[Categoria de risco]],4,FALSE)</f>
        <v>Vulnerável</v>
      </c>
      <c r="F46" s="175" t="s">
        <v>2313</v>
      </c>
      <c r="G46" s="174" t="s">
        <v>680</v>
      </c>
      <c r="H46" s="152" t="str">
        <f>VLOOKUP(Tabela134[[#This Row],[UC]],Tabela6[[#All],[UC]:[UF]],2,FALSE)</f>
        <v>RS</v>
      </c>
      <c r="I46" s="230" t="s">
        <v>592</v>
      </c>
      <c r="J46" s="192" t="str">
        <f>IFERROR(VLOOKUP(Tabela134[[#This Row],[Espécie]],Tabela8[[#All],[Espécie]:[Nome fantasia]],4, FALSE), 0)</f>
        <v>Aves da Mata Atlântica - 2º ciclo</v>
      </c>
      <c r="K46" s="165" t="s">
        <v>610</v>
      </c>
      <c r="L46" s="165" t="s">
        <v>610</v>
      </c>
    </row>
    <row r="47" spans="1:12" ht="19.5" customHeight="1">
      <c r="A47" s="175" t="s">
        <v>2320</v>
      </c>
      <c r="B47" s="147" t="s">
        <v>1259</v>
      </c>
      <c r="C47" s="152" t="str">
        <f>VLOOKUP(Tabela134[[#This Row],[Espécie]],Tabela2[[#All],[Espécie]:[Categoria de risco]],2,FALSE)</f>
        <v>caminheiro-grande</v>
      </c>
      <c r="D47" s="179" t="str">
        <f>VLOOKUP(Tabela134[[#This Row],[Espécie]],Tabela2[[#All],[Espécie]:[Categoria de risco]],3,FALSE)</f>
        <v>Aves</v>
      </c>
      <c r="E47" s="152" t="str">
        <f>VLOOKUP(Tabela134[[#This Row],[Espécie]],Tabela2[[#All],[Espécie]:[Categoria de risco]],4,FALSE)</f>
        <v>Vulnerável</v>
      </c>
      <c r="F47" s="175" t="s">
        <v>2313</v>
      </c>
      <c r="G47" s="174" t="s">
        <v>692</v>
      </c>
      <c r="H47" s="152" t="str">
        <f>VLOOKUP(Tabela134[[#This Row],[UC]],Tabela6[[#All],[UC]:[UF]],2,FALSE)</f>
        <v>SC/RS</v>
      </c>
      <c r="I47" s="230" t="s">
        <v>592</v>
      </c>
      <c r="J47" s="192" t="str">
        <f>IFERROR(VLOOKUP(Tabela134[[#This Row],[Espécie]],Tabela8[[#All],[Espécie]:[Nome fantasia]],4, FALSE), 0)</f>
        <v>Aves da Mata Atlântica - 2º ciclo</v>
      </c>
      <c r="K47" s="165" t="s">
        <v>610</v>
      </c>
      <c r="L47" s="165" t="s">
        <v>610</v>
      </c>
    </row>
    <row r="48" spans="1:12" ht="19.5" customHeight="1">
      <c r="A48" s="175" t="s">
        <v>2320</v>
      </c>
      <c r="B48" s="147" t="s">
        <v>1259</v>
      </c>
      <c r="C48" s="152" t="str">
        <f>VLOOKUP(Tabela134[[#This Row],[Espécie]],Tabela2[[#All],[Espécie]:[Categoria de risco]],2,FALSE)</f>
        <v>caminheiro-grande</v>
      </c>
      <c r="D48" s="179" t="str">
        <f>VLOOKUP(Tabela134[[#This Row],[Espécie]],Tabela2[[#All],[Espécie]:[Categoria de risco]],3,FALSE)</f>
        <v>Aves</v>
      </c>
      <c r="E48" s="152" t="str">
        <f>VLOOKUP(Tabela134[[#This Row],[Espécie]],Tabela2[[#All],[Espécie]:[Categoria de risco]],4,FALSE)</f>
        <v>Vulnerável</v>
      </c>
      <c r="F48" s="175" t="s">
        <v>2313</v>
      </c>
      <c r="G48" s="174" t="s">
        <v>857</v>
      </c>
      <c r="H48" s="152" t="str">
        <f>VLOOKUP(Tabela134[[#This Row],[UC]],Tabela6[[#All],[UC]:[UF]],2,FALSE)</f>
        <v>PR/SC</v>
      </c>
      <c r="I48" s="230" t="s">
        <v>592</v>
      </c>
      <c r="J48" s="192" t="str">
        <f>IFERROR(VLOOKUP(Tabela134[[#This Row],[Espécie]],Tabela8[[#All],[Espécie]:[Nome fantasia]],4, FALSE), 0)</f>
        <v>Aves da Mata Atlântica - 2º ciclo</v>
      </c>
      <c r="K48" s="165" t="s">
        <v>610</v>
      </c>
      <c r="L48" s="165" t="s">
        <v>610</v>
      </c>
    </row>
    <row r="49" spans="1:12" ht="19.5" customHeight="1">
      <c r="A49" s="152" t="s">
        <v>590</v>
      </c>
      <c r="B49" s="173" t="s">
        <v>777</v>
      </c>
      <c r="C49" s="152" t="str">
        <f>VLOOKUP(Tabela134[[#This Row],[Espécie]],Tabela2[[#All],[Espécie]:[Categoria de risco]],2,FALSE)</f>
        <v>Lobo-marinho-sul-americano</v>
      </c>
      <c r="D49" s="152" t="str">
        <f>VLOOKUP(Tabela134[[#This Row],[Espécie]],Tabela2[[#All],[Espécie]:[Categoria de risco]],3,FALSE)</f>
        <v>Mamíferos</v>
      </c>
      <c r="E49" s="152" t="str">
        <f>VLOOKUP(Tabela134[[#This Row],[Espécie]],Tabela2[[#All],[Espécie]:[Categoria de risco]],4,FALSE)</f>
        <v>Não aplicável</v>
      </c>
      <c r="G49" s="60" t="s">
        <v>770</v>
      </c>
      <c r="H49" s="152" t="str">
        <f>VLOOKUP(Tabela134[[#This Row],[UC]],Tabela6[[#All],[UC]:[UF]],2,FALSE)</f>
        <v>RS</v>
      </c>
      <c r="I49" s="230" t="s">
        <v>610</v>
      </c>
      <c r="J49" s="192">
        <f>IFERROR(VLOOKUP(Tabela134[[#This Row],[Espécie]],Tabela8[[#All],[Espécie]:[Nome fantasia]],4, FALSE), 0)</f>
        <v>0</v>
      </c>
      <c r="K49" s="165" t="s">
        <v>592</v>
      </c>
      <c r="L49" s="165" t="s">
        <v>592</v>
      </c>
    </row>
    <row r="50" spans="1:12" ht="19.5" customHeight="1">
      <c r="A50" s="152" t="s">
        <v>590</v>
      </c>
      <c r="B50" s="173" t="s">
        <v>779</v>
      </c>
      <c r="C50" s="152" t="str">
        <f>VLOOKUP(Tabela134[[#This Row],[Espécie]],Tabela2[[#All],[Espécie]:[Categoria de risco]],2,FALSE)</f>
        <v>Lobo-marinho-antártico</v>
      </c>
      <c r="D50" s="152" t="str">
        <f>VLOOKUP(Tabela134[[#This Row],[Espécie]],Tabela2[[#All],[Espécie]:[Categoria de risco]],3,FALSE)</f>
        <v>Mamíferos</v>
      </c>
      <c r="E50" s="152" t="str">
        <f>VLOOKUP(Tabela134[[#This Row],[Espécie]],Tabela2[[#All],[Espécie]:[Categoria de risco]],4,FALSE)</f>
        <v>Não aplicável</v>
      </c>
      <c r="G50" s="60" t="s">
        <v>770</v>
      </c>
      <c r="H50" s="152" t="str">
        <f>VLOOKUP(Tabela134[[#This Row],[UC]],Tabela6[[#All],[UC]:[UF]],2,FALSE)</f>
        <v>RS</v>
      </c>
      <c r="I50" s="230" t="s">
        <v>610</v>
      </c>
      <c r="J50" s="192">
        <f>IFERROR(VLOOKUP(Tabela134[[#This Row],[Espécie]],Tabela8[[#All],[Espécie]:[Nome fantasia]],4, FALSE), 0)</f>
        <v>0</v>
      </c>
      <c r="K50" s="165" t="s">
        <v>592</v>
      </c>
      <c r="L50" s="165" t="s">
        <v>592</v>
      </c>
    </row>
    <row r="51" spans="1:12" ht="19.5" customHeight="1">
      <c r="A51" s="152" t="s">
        <v>590</v>
      </c>
      <c r="B51" s="173" t="s">
        <v>778</v>
      </c>
      <c r="C51" s="152" t="str">
        <f>VLOOKUP(Tabela134[[#This Row],[Espécie]],Tabela2[[#All],[Espécie]:[Categoria de risco]],2,FALSE)</f>
        <v>Lobo-marinho-subantártico</v>
      </c>
      <c r="D51" s="152" t="str">
        <f>VLOOKUP(Tabela134[[#This Row],[Espécie]],Tabela2[[#All],[Espécie]:[Categoria de risco]],3,FALSE)</f>
        <v>Mamíferos</v>
      </c>
      <c r="E51" s="152" t="str">
        <f>VLOOKUP(Tabela134[[#This Row],[Espécie]],Tabela2[[#All],[Espécie]:[Categoria de risco]],4,FALSE)</f>
        <v>Não aplicável</v>
      </c>
      <c r="G51" s="60" t="s">
        <v>770</v>
      </c>
      <c r="H51" s="152" t="str">
        <f>VLOOKUP(Tabela134[[#This Row],[UC]],Tabela6[[#All],[UC]:[UF]],2,FALSE)</f>
        <v>RS</v>
      </c>
      <c r="I51" s="230" t="s">
        <v>610</v>
      </c>
      <c r="J51" s="192">
        <f>IFERROR(VLOOKUP(Tabela134[[#This Row],[Espécie]],Tabela8[[#All],[Espécie]:[Nome fantasia]],4, FALSE), 0)</f>
        <v>0</v>
      </c>
      <c r="K51" s="165" t="s">
        <v>592</v>
      </c>
      <c r="L51" s="165" t="s">
        <v>592</v>
      </c>
    </row>
    <row r="52" spans="1:12" ht="19.5" customHeight="1">
      <c r="A52" s="152" t="s">
        <v>590</v>
      </c>
      <c r="B52" s="173" t="s">
        <v>811</v>
      </c>
      <c r="C52" s="152" t="str">
        <f>VLOOKUP(Tabela134[[#This Row],[Espécie]],Tabela2[[#All],[Espécie]:[Categoria de risco]],2,FALSE)</f>
        <v>garça-moura</v>
      </c>
      <c r="D52" s="152" t="str">
        <f>VLOOKUP(Tabela134[[#This Row],[Espécie]],Tabela2[[#All],[Espécie]:[Categoria de risco]],3,FALSE)</f>
        <v>Aves</v>
      </c>
      <c r="E52" s="152" t="str">
        <f>VLOOKUP(Tabela134[[#This Row],[Espécie]],Tabela2[[#All],[Espécie]:[Categoria de risco]],4,FALSE)</f>
        <v>Menos preocupante</v>
      </c>
      <c r="G52" s="60" t="s">
        <v>770</v>
      </c>
      <c r="H52" s="152" t="str">
        <f>VLOOKUP(Tabela134[[#This Row],[UC]],Tabela6[[#All],[UC]:[UF]],2,FALSE)</f>
        <v>RS</v>
      </c>
      <c r="I52" s="230" t="s">
        <v>610</v>
      </c>
      <c r="J52" s="192">
        <f>IFERROR(VLOOKUP(Tabela134[[#This Row],[Espécie]],Tabela8[[#All],[Espécie]:[Nome fantasia]],4, FALSE), 0)</f>
        <v>0</v>
      </c>
      <c r="K52" s="165" t="s">
        <v>592</v>
      </c>
      <c r="L52" s="165" t="s">
        <v>592</v>
      </c>
    </row>
    <row r="53" spans="1:12" ht="19.5" customHeight="1">
      <c r="A53" s="152" t="s">
        <v>590</v>
      </c>
      <c r="B53" s="173" t="s">
        <v>804</v>
      </c>
      <c r="C53" s="152" t="str">
        <f>VLOOKUP(Tabela134[[#This Row],[Espécie]],Tabela2[[#All],[Espécie]:[Categoria de risco]],2,FALSE)</f>
        <v>bobo-escuro, pardela-escura</v>
      </c>
      <c r="D53" s="152" t="str">
        <f>VLOOKUP(Tabela134[[#This Row],[Espécie]],Tabela2[[#All],[Espécie]:[Categoria de risco]],3,FALSE)</f>
        <v>Aves</v>
      </c>
      <c r="E53" s="152" t="str">
        <f>VLOOKUP(Tabela134[[#This Row],[Espécie]],Tabela2[[#All],[Espécie]:[Categoria de risco]],4,FALSE)</f>
        <v>Menos preocupante</v>
      </c>
      <c r="G53" s="60" t="s">
        <v>770</v>
      </c>
      <c r="H53" s="152" t="str">
        <f>VLOOKUP(Tabela134[[#This Row],[UC]],Tabela6[[#All],[UC]:[UF]],2,FALSE)</f>
        <v>RS</v>
      </c>
      <c r="I53" s="230" t="s">
        <v>610</v>
      </c>
      <c r="J53" s="192">
        <f>IFERROR(VLOOKUP(Tabela134[[#This Row],[Espécie]],Tabela8[[#All],[Espécie]:[Nome fantasia]],4, FALSE), 0)</f>
        <v>0</v>
      </c>
      <c r="K53" s="165" t="s">
        <v>592</v>
      </c>
      <c r="L53" s="165" t="s">
        <v>592</v>
      </c>
    </row>
    <row r="54" spans="1:12" ht="19.5" customHeight="1">
      <c r="A54" s="152" t="s">
        <v>590</v>
      </c>
      <c r="B54" s="173" t="s">
        <v>789</v>
      </c>
      <c r="C54" s="152" t="str">
        <f>VLOOKUP(Tabela134[[#This Row],[Espécie]],Tabela2[[#All],[Espécie]:[Categoria de risco]],2,FALSE)</f>
        <v>vira-pedras</v>
      </c>
      <c r="D54" s="152" t="str">
        <f>VLOOKUP(Tabela134[[#This Row],[Espécie]],Tabela2[[#All],[Espécie]:[Categoria de risco]],3,FALSE)</f>
        <v>Aves</v>
      </c>
      <c r="E54" s="152" t="str">
        <f>VLOOKUP(Tabela134[[#This Row],[Espécie]],Tabela2[[#All],[Espécie]:[Categoria de risco]],4,FALSE)</f>
        <v>Quase ameaçada</v>
      </c>
      <c r="G54" s="60" t="s">
        <v>770</v>
      </c>
      <c r="H54" s="152" t="str">
        <f>VLOOKUP(Tabela134[[#This Row],[UC]],Tabela6[[#All],[UC]:[UF]],2,FALSE)</f>
        <v>RS</v>
      </c>
      <c r="I54" s="230" t="s">
        <v>592</v>
      </c>
      <c r="J54" s="192" t="str">
        <f>IFERROR(VLOOKUP(Tabela134[[#This Row],[Espécie]],Tabela8[[#All],[Espécie]:[Nome fantasia]],4, FALSE), 0)</f>
        <v>Aves Limícolas Migratórias - 2º ciclo</v>
      </c>
      <c r="K54" s="165" t="s">
        <v>592</v>
      </c>
      <c r="L54" s="165" t="s">
        <v>592</v>
      </c>
    </row>
    <row r="55" spans="1:12" ht="19.5" customHeight="1">
      <c r="A55" s="152" t="s">
        <v>590</v>
      </c>
      <c r="B55" s="171" t="s">
        <v>729</v>
      </c>
      <c r="C55" s="152" t="str">
        <f>VLOOKUP(Tabela134[[#This Row],[Espécie]],Tabela2[[#All],[Espécie]:[Categoria de risco]],2,FALSE)</f>
        <v>estrela-do-mar</v>
      </c>
      <c r="D55" s="152" t="str">
        <f>VLOOKUP(Tabela134[[#This Row],[Espécie]],Tabela2[[#All],[Espécie]:[Categoria de risco]],3,FALSE)</f>
        <v>Invertebrados Marinhos</v>
      </c>
      <c r="E55" s="152" t="str">
        <f>VLOOKUP(Tabela134[[#This Row],[Espécie]],Tabela2[[#All],[Espécie]:[Categoria de risco]],4,FALSE)</f>
        <v>Vulnerável</v>
      </c>
      <c r="F55" s="172" t="s">
        <v>636</v>
      </c>
      <c r="G55" s="60" t="s">
        <v>730</v>
      </c>
      <c r="H55" s="152" t="str">
        <f>VLOOKUP(Tabela134[[#This Row],[UC]],Tabela6[[#All],[UC]:[UF]],2,FALSE)</f>
        <v>SC</v>
      </c>
      <c r="I55" s="230" t="s">
        <v>610</v>
      </c>
      <c r="J55" s="192">
        <f>IFERROR(VLOOKUP(Tabela134[[#This Row],[Espécie]],Tabela8[[#All],[Espécie]:[Nome fantasia]],4, FALSE), 0)</f>
        <v>0</v>
      </c>
      <c r="K55" s="165" t="s">
        <v>592</v>
      </c>
      <c r="L55" s="165" t="s">
        <v>592</v>
      </c>
    </row>
    <row r="56" spans="1:12" ht="19.5" customHeight="1">
      <c r="A56" s="152" t="s">
        <v>590</v>
      </c>
      <c r="B56" s="171" t="s">
        <v>731</v>
      </c>
      <c r="C56" s="152" t="str">
        <f>VLOOKUP(Tabela134[[#This Row],[Espécie]],Tabela2[[#All],[Espécie]:[Categoria de risco]],2,FALSE)</f>
        <v>estrela-do-mar</v>
      </c>
      <c r="D56" s="152" t="str">
        <f>VLOOKUP(Tabela134[[#This Row],[Espécie]],Tabela2[[#All],[Espécie]:[Categoria de risco]],3,FALSE)</f>
        <v>Invertebrados Marinhos</v>
      </c>
      <c r="E56" s="152" t="str">
        <f>VLOOKUP(Tabela134[[#This Row],[Espécie]],Tabela2[[#All],[Espécie]:[Categoria de risco]],4,FALSE)</f>
        <v>Vulnerável</v>
      </c>
      <c r="F56" s="172" t="s">
        <v>636</v>
      </c>
      <c r="G56" s="60" t="s">
        <v>730</v>
      </c>
      <c r="H56" s="152" t="str">
        <f>VLOOKUP(Tabela134[[#This Row],[UC]],Tabela6[[#All],[UC]:[UF]],2,FALSE)</f>
        <v>SC</v>
      </c>
      <c r="I56" s="230" t="s">
        <v>610</v>
      </c>
      <c r="J56" s="192">
        <f>IFERROR(VLOOKUP(Tabela134[[#This Row],[Espécie]],Tabela8[[#All],[Espécie]:[Nome fantasia]],4, FALSE), 0)</f>
        <v>0</v>
      </c>
      <c r="K56" s="165" t="s">
        <v>592</v>
      </c>
      <c r="L56" s="165" t="s">
        <v>592</v>
      </c>
    </row>
    <row r="57" spans="1:12" ht="19.5" customHeight="1">
      <c r="A57" s="152" t="s">
        <v>590</v>
      </c>
      <c r="B57" s="171" t="s">
        <v>754</v>
      </c>
      <c r="C57" s="152" t="str">
        <f>VLOOKUP(Tabela134[[#This Row],[Espécie]],Tabela2[[#All],[Espécie]:[Categoria de risco]],2,FALSE)</f>
        <v>emplastro, emplastro-marcela, emplastro-pintado, raia-chita, raia-marcela</v>
      </c>
      <c r="D57" s="152" t="str">
        <f>VLOOKUP(Tabela134[[#This Row],[Espécie]],Tabela2[[#All],[Espécie]:[Categoria de risco]],3,FALSE)</f>
        <v>Tubarões e Raias</v>
      </c>
      <c r="E57" s="152" t="str">
        <f>VLOOKUP(Tabela134[[#This Row],[Espécie]],Tabela2[[#All],[Espécie]:[Categoria de risco]],4,FALSE)</f>
        <v>Em Perigo</v>
      </c>
      <c r="G57" s="60" t="s">
        <v>730</v>
      </c>
      <c r="H57" s="152" t="str">
        <f>VLOOKUP(Tabela134[[#This Row],[UC]],Tabela6[[#All],[UC]:[UF]],2,FALSE)</f>
        <v>SC</v>
      </c>
      <c r="I57" s="230" t="s">
        <v>592</v>
      </c>
      <c r="J57" s="192" t="str">
        <f>IFERROR(VLOOKUP(Tabela134[[#This Row],[Espécie]],Tabela8[[#All],[Espécie]:[Nome fantasia]],4, FALSE), 0)</f>
        <v xml:space="preserve">Tubarões - 2º ciclo </v>
      </c>
      <c r="K57" s="165" t="s">
        <v>592</v>
      </c>
      <c r="L57" s="165" t="s">
        <v>592</v>
      </c>
    </row>
    <row r="58" spans="1:12" ht="19.5" customHeight="1">
      <c r="A58" s="152" t="s">
        <v>590</v>
      </c>
      <c r="B58" s="171" t="s">
        <v>754</v>
      </c>
      <c r="C58" s="152" t="str">
        <f>VLOOKUP(Tabela134[[#This Row],[Espécie]],Tabela2[[#All],[Espécie]:[Categoria de risco]],2,FALSE)</f>
        <v>emplastro, emplastro-marcela, emplastro-pintado, raia-chita, raia-marcela</v>
      </c>
      <c r="D58" s="152" t="str">
        <f>VLOOKUP(Tabela134[[#This Row],[Espécie]],Tabela2[[#All],[Espécie]:[Categoria de risco]],3,FALSE)</f>
        <v>Tubarões e Raias</v>
      </c>
      <c r="E58" s="152" t="str">
        <f>VLOOKUP(Tabela134[[#This Row],[Espécie]],Tabela2[[#All],[Espécie]:[Categoria de risco]],4,FALSE)</f>
        <v>Em Perigo</v>
      </c>
      <c r="G58" s="60" t="s">
        <v>770</v>
      </c>
      <c r="H58" s="152" t="str">
        <f>VLOOKUP(Tabela134[[#This Row],[UC]],Tabela6[[#All],[UC]:[UF]],2,FALSE)</f>
        <v>RS</v>
      </c>
      <c r="I58" s="230" t="s">
        <v>592</v>
      </c>
      <c r="J58" s="192" t="str">
        <f>IFERROR(VLOOKUP(Tabela134[[#This Row],[Espécie]],Tabela8[[#All],[Espécie]:[Nome fantasia]],4, FALSE), 0)</f>
        <v xml:space="preserve">Tubarões - 2º ciclo </v>
      </c>
      <c r="K58" s="165" t="s">
        <v>592</v>
      </c>
      <c r="L58" s="165" t="s">
        <v>592</v>
      </c>
    </row>
    <row r="59" spans="1:12" ht="19.5" customHeight="1">
      <c r="A59" s="152" t="s">
        <v>590</v>
      </c>
      <c r="B59" s="171" t="s">
        <v>755</v>
      </c>
      <c r="C59" s="152" t="str">
        <f>VLOOKUP(Tabela134[[#This Row],[Espécie]],Tabela2[[#All],[Espécie]:[Categoria de risco]],2,FALSE)</f>
        <v>raia-carimbada</v>
      </c>
      <c r="D59" s="152" t="str">
        <f>VLOOKUP(Tabela134[[#This Row],[Espécie]],Tabela2[[#All],[Espécie]:[Categoria de risco]],3,FALSE)</f>
        <v>Tubarões e Raias</v>
      </c>
      <c r="E59" s="152" t="str">
        <f>VLOOKUP(Tabela134[[#This Row],[Espécie]],Tabela2[[#All],[Espécie]:[Categoria de risco]],4,FALSE)</f>
        <v>Vulnerável</v>
      </c>
      <c r="G59" s="60" t="s">
        <v>730</v>
      </c>
      <c r="H59" s="152" t="str">
        <f>VLOOKUP(Tabela134[[#This Row],[UC]],Tabela6[[#All],[UC]:[UF]],2,FALSE)</f>
        <v>SC</v>
      </c>
      <c r="I59" s="230" t="s">
        <v>592</v>
      </c>
      <c r="J59" s="192" t="str">
        <f>IFERROR(VLOOKUP(Tabela134[[#This Row],[Espécie]],Tabela8[[#All],[Espécie]:[Nome fantasia]],4, FALSE), 0)</f>
        <v xml:space="preserve">Tubarões - 2º ciclo </v>
      </c>
      <c r="K59" s="165" t="s">
        <v>592</v>
      </c>
      <c r="L59" s="165" t="s">
        <v>592</v>
      </c>
    </row>
    <row r="60" spans="1:12" ht="19.5" customHeight="1">
      <c r="A60" s="152" t="s">
        <v>590</v>
      </c>
      <c r="B60" s="171" t="s">
        <v>689</v>
      </c>
      <c r="C60" s="152" t="str">
        <f>VLOOKUP(Tabela134[[#This Row],[Espécie]],Tabela2[[#All],[Espécie]:[Categoria de risco]],2,FALSE)</f>
        <v>papo-branco</v>
      </c>
      <c r="D60" s="152" t="str">
        <f>VLOOKUP(Tabela134[[#This Row],[Espécie]],Tabela2[[#All],[Espécie]:[Categoria de risco]],3,FALSE)</f>
        <v>Aves</v>
      </c>
      <c r="E60" s="152" t="str">
        <f>VLOOKUP(Tabela134[[#This Row],[Espécie]],Tabela2[[#All],[Espécie]:[Categoria de risco]],4,FALSE)</f>
        <v>Quase ameaçada</v>
      </c>
      <c r="G60" s="60" t="s">
        <v>688</v>
      </c>
      <c r="H60" s="152" t="str">
        <f>VLOOKUP(Tabela134[[#This Row],[UC]],Tabela6[[#All],[UC]:[UF]],2,FALSE)</f>
        <v>SC</v>
      </c>
      <c r="I60" s="230" t="s">
        <v>610</v>
      </c>
      <c r="J60" s="192">
        <f>IFERROR(VLOOKUP(Tabela134[[#This Row],[Espécie]],Tabela8[[#All],[Espécie]:[Nome fantasia]],4, FALSE), 0)</f>
        <v>0</v>
      </c>
      <c r="K60" s="165" t="s">
        <v>610</v>
      </c>
      <c r="L60" s="165" t="s">
        <v>592</v>
      </c>
    </row>
    <row r="61" spans="1:12" ht="19.5" customHeight="1">
      <c r="A61" s="152" t="s">
        <v>590</v>
      </c>
      <c r="B61" s="171" t="s">
        <v>689</v>
      </c>
      <c r="C61" s="152" t="str">
        <f>VLOOKUP(Tabela134[[#This Row],[Espécie]],Tabela2[[#All],[Espécie]:[Categoria de risco]],2,FALSE)</f>
        <v>papo-branco</v>
      </c>
      <c r="D61" s="152" t="str">
        <f>VLOOKUP(Tabela134[[#This Row],[Espécie]],Tabela2[[#All],[Espécie]:[Categoria de risco]],3,FALSE)</f>
        <v>Aves</v>
      </c>
      <c r="E61" s="152" t="str">
        <f>VLOOKUP(Tabela134[[#This Row],[Espécie]],Tabela2[[#All],[Espécie]:[Categoria de risco]],4,FALSE)</f>
        <v>Quase ameaçada</v>
      </c>
      <c r="G61" s="60" t="s">
        <v>715</v>
      </c>
      <c r="H61" s="152" t="str">
        <f>VLOOKUP(Tabela134[[#This Row],[UC]],Tabela6[[#All],[UC]:[UF]],2,FALSE)</f>
        <v>PR</v>
      </c>
      <c r="I61" s="230" t="s">
        <v>610</v>
      </c>
      <c r="J61" s="192">
        <f>IFERROR(VLOOKUP(Tabela134[[#This Row],[Espécie]],Tabela8[[#All],[Espécie]:[Nome fantasia]],4, FALSE), 0)</f>
        <v>0</v>
      </c>
      <c r="K61" s="165" t="s">
        <v>592</v>
      </c>
      <c r="L61" s="165" t="s">
        <v>592</v>
      </c>
    </row>
    <row r="62" spans="1:12" ht="19.5" customHeight="1">
      <c r="A62" s="152" t="s">
        <v>590</v>
      </c>
      <c r="B62" s="171" t="s">
        <v>603</v>
      </c>
      <c r="C62" s="152" t="str">
        <f>VLOOKUP(Tabela134[[#This Row],[Espécie]],Tabela2[[#All],[Espécie]:[Categoria de risco]],2,FALSE)</f>
        <v>Cervo-do-Pantanal</v>
      </c>
      <c r="D62" s="152" t="str">
        <f>VLOOKUP(Tabela134[[#This Row],[Espécie]],Tabela2[[#All],[Espécie]:[Categoria de risco]],3,FALSE)</f>
        <v>Mamíferos</v>
      </c>
      <c r="E62" s="152" t="str">
        <f>VLOOKUP(Tabela134[[#This Row],[Espécie]],Tabela2[[#All],[Espécie]:[Categoria de risco]],4,FALSE)</f>
        <v>Vulnerável</v>
      </c>
      <c r="G62" s="60" t="s">
        <v>602</v>
      </c>
      <c r="H62" s="152" t="str">
        <f>VLOOKUP(Tabela134[[#This Row],[UC]],Tabela6[[#All],[UC]:[UF]],2,FALSE)</f>
        <v>SP/PR/MS</v>
      </c>
      <c r="I62" s="230" t="s">
        <v>592</v>
      </c>
      <c r="J62" s="192" t="str">
        <f>IFERROR(VLOOKUP(Tabela134[[#This Row],[Espécie]],Tabela8[[#All],[Espécie]:[Nome fantasia]],4, FALSE), 0)</f>
        <v>Ungulados</v>
      </c>
      <c r="K62" s="165" t="s">
        <v>592</v>
      </c>
      <c r="L62" s="165" t="s">
        <v>592</v>
      </c>
    </row>
    <row r="63" spans="1:12" ht="19.5" customHeight="1">
      <c r="A63" s="152" t="s">
        <v>590</v>
      </c>
      <c r="B63" s="171" t="s">
        <v>603</v>
      </c>
      <c r="C63" s="152" t="str">
        <f>VLOOKUP(Tabela134[[#This Row],[Espécie]],Tabela2[[#All],[Espécie]:[Categoria de risco]],2,FALSE)</f>
        <v>Cervo-do-Pantanal</v>
      </c>
      <c r="D63" s="152" t="str">
        <f>VLOOKUP(Tabela134[[#This Row],[Espécie]],Tabela2[[#All],[Espécie]:[Categoria de risco]],3,FALSE)</f>
        <v>Mamíferos</v>
      </c>
      <c r="E63" s="152" t="str">
        <f>VLOOKUP(Tabela134[[#This Row],[Espécie]],Tabela2[[#All],[Espécie]:[Categoria de risco]],4,FALSE)</f>
        <v>Vulnerável</v>
      </c>
      <c r="G63" s="60" t="s">
        <v>703</v>
      </c>
      <c r="H63" s="152" t="str">
        <f>VLOOKUP(Tabela134[[#This Row],[UC]],Tabela6[[#All],[UC]:[UF]],2,FALSE)</f>
        <v>MS/PR</v>
      </c>
      <c r="I63" s="230" t="s">
        <v>592</v>
      </c>
      <c r="J63" s="192" t="str">
        <f>IFERROR(VLOOKUP(Tabela134[[#This Row],[Espécie]],Tabela8[[#All],[Espécie]:[Nome fantasia]],4, FALSE), 0)</f>
        <v>Ungulados</v>
      </c>
      <c r="K63" s="165" t="s">
        <v>592</v>
      </c>
      <c r="L63" s="165" t="s">
        <v>592</v>
      </c>
    </row>
    <row r="64" spans="1:12" ht="19.5" customHeight="1">
      <c r="A64" s="152" t="s">
        <v>622</v>
      </c>
      <c r="B64" s="171" t="s">
        <v>603</v>
      </c>
      <c r="C64" s="152" t="str">
        <f>VLOOKUP(Tabela134[[#This Row],[Espécie]],Tabela2[[#All],[Espécie]:[Categoria de risco]],2,FALSE)</f>
        <v>Cervo-do-Pantanal</v>
      </c>
      <c r="D64" s="152" t="str">
        <f>VLOOKUP(Tabela134[[#This Row],[Espécie]],Tabela2[[#All],[Espécie]:[Categoria de risco]],3,FALSE)</f>
        <v>Mamíferos</v>
      </c>
      <c r="E64" s="152" t="str">
        <f>VLOOKUP(Tabela134[[#This Row],[Espécie]],Tabela2[[#All],[Espécie]:[Categoria de risco]],4,FALSE)</f>
        <v>Vulnerável</v>
      </c>
      <c r="G64" s="60" t="s">
        <v>722</v>
      </c>
      <c r="H64" s="152" t="str">
        <f>VLOOKUP(Tabela134[[#This Row],[UC]],Tabela6[[#All],[UC]:[UF]],2,FALSE)</f>
        <v>PR</v>
      </c>
      <c r="I64" s="230" t="s">
        <v>592</v>
      </c>
      <c r="J64" s="192" t="str">
        <f>IFERROR(VLOOKUP(Tabela134[[#This Row],[Espécie]],Tabela8[[#All],[Espécie]:[Nome fantasia]],4, FALSE), 0)</f>
        <v>Ungulados</v>
      </c>
      <c r="K64" s="165" t="s">
        <v>592</v>
      </c>
      <c r="L64" s="165" t="s">
        <v>592</v>
      </c>
    </row>
    <row r="65" spans="1:12" ht="19.5" customHeight="1">
      <c r="A65" s="175" t="s">
        <v>2320</v>
      </c>
      <c r="B65" s="147" t="s">
        <v>1637</v>
      </c>
      <c r="C65" s="152" t="str">
        <f>VLOOKUP(Tabela134[[#This Row],[Espécie]],Tabela2[[#All],[Espécie]:[Categoria de risco]],2,FALSE)</f>
        <v>Buriqui, Buriquim, Mariquina, Mono, Mono-carvoeiro, Muriqui-do-sul</v>
      </c>
      <c r="D65" s="179" t="str">
        <f>VLOOKUP(Tabela134[[#This Row],[Espécie]],Tabela2[[#All],[Espécie]:[Categoria de risco]],3,FALSE)</f>
        <v>Mamíferos</v>
      </c>
      <c r="E65" s="152" t="str">
        <f>VLOOKUP(Tabela134[[#This Row],[Espécie]],Tabela2[[#All],[Espécie]:[Categoria de risco]],4,FALSE)</f>
        <v>Em Perigo</v>
      </c>
      <c r="F65" s="175" t="s">
        <v>2313</v>
      </c>
      <c r="G65" s="174" t="s">
        <v>613</v>
      </c>
      <c r="H65" s="152" t="str">
        <f>VLOOKUP(Tabela134[[#This Row],[UC]],Tabela6[[#All],[UC]:[UF]],2,FALSE)</f>
        <v>SP/PR</v>
      </c>
      <c r="I65" s="230" t="s">
        <v>610</v>
      </c>
      <c r="J65" s="192">
        <f>IFERROR(VLOOKUP(Tabela134[[#This Row],[Espécie]],Tabela8[[#All],[Espécie]:[Nome fantasia]],4, FALSE), 0)</f>
        <v>0</v>
      </c>
      <c r="K65" s="165" t="s">
        <v>610</v>
      </c>
      <c r="L65" s="165" t="s">
        <v>610</v>
      </c>
    </row>
    <row r="66" spans="1:12" ht="19.5" customHeight="1">
      <c r="A66" s="175" t="s">
        <v>2320</v>
      </c>
      <c r="B66" s="147" t="s">
        <v>1637</v>
      </c>
      <c r="C66" s="152" t="str">
        <f>VLOOKUP(Tabela134[[#This Row],[Espécie]],Tabela2[[#All],[Espécie]:[Categoria de risco]],2,FALSE)</f>
        <v>Buriqui, Buriquim, Mariquina, Mono, Mono-carvoeiro, Muriqui-do-sul</v>
      </c>
      <c r="D66" s="179" t="str">
        <f>VLOOKUP(Tabela134[[#This Row],[Espécie]],Tabela2[[#All],[Espécie]:[Categoria de risco]],3,FALSE)</f>
        <v>Mamíferos</v>
      </c>
      <c r="E66" s="152" t="str">
        <f>VLOOKUP(Tabela134[[#This Row],[Espécie]],Tabela2[[#All],[Espécie]:[Categoria de risco]],4,FALSE)</f>
        <v>Em Perigo</v>
      </c>
      <c r="F66" s="175" t="s">
        <v>2313</v>
      </c>
      <c r="G66" s="174" t="s">
        <v>722</v>
      </c>
      <c r="H66" s="152" t="str">
        <f>VLOOKUP(Tabela134[[#This Row],[UC]],Tabela6[[#All],[UC]:[UF]],2,FALSE)</f>
        <v>PR</v>
      </c>
      <c r="I66" s="230" t="s">
        <v>610</v>
      </c>
      <c r="J66" s="192">
        <f>IFERROR(VLOOKUP(Tabela134[[#This Row],[Espécie]],Tabela8[[#All],[Espécie]:[Nome fantasia]],4, FALSE), 0)</f>
        <v>0</v>
      </c>
      <c r="K66" s="165" t="s">
        <v>610</v>
      </c>
      <c r="L66" s="165" t="s">
        <v>610</v>
      </c>
    </row>
    <row r="67" spans="1:12" ht="19.5" customHeight="1">
      <c r="A67" s="152" t="s">
        <v>590</v>
      </c>
      <c r="B67" s="173" t="s">
        <v>832</v>
      </c>
      <c r="C67" s="152" t="str">
        <f>VLOOKUP(Tabela134[[#This Row],[Espécie]],Tabela2[[#All],[Espécie]:[Categoria de risco]],2,FALSE)</f>
        <v>Savelha</v>
      </c>
      <c r="D67" s="152" t="str">
        <f>VLOOKUP(Tabela134[[#This Row],[Espécie]],Tabela2[[#All],[Espécie]:[Categoria de risco]],3,FALSE)</f>
        <v>Peixes Marinhos (ósseos)</v>
      </c>
      <c r="E67" s="152" t="str">
        <f>VLOOKUP(Tabela134[[#This Row],[Espécie]],Tabela2[[#All],[Espécie]:[Categoria de risco]],4,FALSE)</f>
        <v>Menos preocupante</v>
      </c>
      <c r="G67" s="60" t="s">
        <v>770</v>
      </c>
      <c r="H67" s="152" t="str">
        <f>VLOOKUP(Tabela134[[#This Row],[UC]],Tabela6[[#All],[UC]:[UF]],2,FALSE)</f>
        <v>RS</v>
      </c>
      <c r="I67" s="230" t="s">
        <v>610</v>
      </c>
      <c r="J67" s="192">
        <f>IFERROR(VLOOKUP(Tabela134[[#This Row],[Espécie]],Tabela8[[#All],[Espécie]:[Nome fantasia]],4, FALSE), 0)</f>
        <v>0</v>
      </c>
      <c r="K67" s="165" t="s">
        <v>592</v>
      </c>
      <c r="L67" s="165" t="s">
        <v>592</v>
      </c>
    </row>
    <row r="68" spans="1:12" ht="19.5" customHeight="1">
      <c r="A68" s="152" t="s">
        <v>590</v>
      </c>
      <c r="B68" s="171" t="s">
        <v>601</v>
      </c>
      <c r="C68" s="152" t="str">
        <f>VLOOKUP(Tabela134[[#This Row],[Espécie]],Tabela2[[#All],[Espécie]:[Categoria de risco]],2,FALSE)</f>
        <v>Piracanjuba</v>
      </c>
      <c r="D68" s="152" t="str">
        <f>VLOOKUP(Tabela134[[#This Row],[Espécie]],Tabela2[[#All],[Espécie]:[Categoria de risco]],3,FALSE)</f>
        <v>Peixes Continentais</v>
      </c>
      <c r="E68" s="152" t="str">
        <f>VLOOKUP(Tabela134[[#This Row],[Espécie]],Tabela2[[#All],[Espécie]:[Categoria de risco]],4,FALSE)</f>
        <v>Criticamente em Perigo</v>
      </c>
      <c r="G68" s="60" t="s">
        <v>602</v>
      </c>
      <c r="H68" s="152" t="str">
        <f>VLOOKUP(Tabela134[[#This Row],[UC]],Tabela6[[#All],[UC]:[UF]],2,FALSE)</f>
        <v>SP/PR/MS</v>
      </c>
      <c r="I68" s="230" t="s">
        <v>592</v>
      </c>
      <c r="J68" s="192" t="str">
        <f>IFERROR(VLOOKUP(Tabela134[[#This Row],[Espécie]],Tabela8[[#All],[Espécie]:[Nome fantasia]],4, FALSE), 0)</f>
        <v>Alto Paraná - 1º ciclo</v>
      </c>
      <c r="K68" s="165" t="s">
        <v>592</v>
      </c>
      <c r="L68" s="165" t="s">
        <v>592</v>
      </c>
    </row>
    <row r="69" spans="1:12" ht="19.5" customHeight="1">
      <c r="A69" s="152" t="s">
        <v>590</v>
      </c>
      <c r="B69" s="171" t="s">
        <v>601</v>
      </c>
      <c r="C69" s="152" t="str">
        <f>VLOOKUP(Tabela134[[#This Row],[Espécie]],Tabela2[[#All],[Espécie]:[Categoria de risco]],2,FALSE)</f>
        <v>Piracanjuba</v>
      </c>
      <c r="D69" s="152" t="str">
        <f>VLOOKUP(Tabela134[[#This Row],[Espécie]],Tabela2[[#All],[Espécie]:[Categoria de risco]],3,FALSE)</f>
        <v>Peixes Continentais</v>
      </c>
      <c r="E69" s="152" t="str">
        <f>VLOOKUP(Tabela134[[#This Row],[Espécie]],Tabela2[[#All],[Espécie]:[Categoria de risco]],4,FALSE)</f>
        <v>Criticamente em Perigo</v>
      </c>
      <c r="G69" s="60" t="s">
        <v>703</v>
      </c>
      <c r="H69" s="152" t="str">
        <f>VLOOKUP(Tabela134[[#This Row],[UC]],Tabela6[[#All],[UC]:[UF]],2,FALSE)</f>
        <v>MS/PR</v>
      </c>
      <c r="I69" s="230" t="s">
        <v>592</v>
      </c>
      <c r="J69" s="192" t="str">
        <f>IFERROR(VLOOKUP(Tabela134[[#This Row],[Espécie]],Tabela8[[#All],[Espécie]:[Nome fantasia]],4, FALSE), 0)</f>
        <v>Alto Paraná - 1º ciclo</v>
      </c>
      <c r="K69" s="165" t="s">
        <v>592</v>
      </c>
      <c r="L69" s="165" t="s">
        <v>592</v>
      </c>
    </row>
    <row r="70" spans="1:12" ht="19.5" customHeight="1">
      <c r="A70" s="152" t="s">
        <v>590</v>
      </c>
      <c r="B70" s="173" t="s">
        <v>810</v>
      </c>
      <c r="C70" s="152" t="str">
        <f>VLOOKUP(Tabela134[[#This Row],[Espécie]],Tabela2[[#All],[Espécie]:[Categoria de risco]],2,FALSE)</f>
        <v>garça-vaqueira</v>
      </c>
      <c r="D70" s="152" t="str">
        <f>VLOOKUP(Tabela134[[#This Row],[Espécie]],Tabela2[[#All],[Espécie]:[Categoria de risco]],3,FALSE)</f>
        <v>Aves</v>
      </c>
      <c r="E70" s="152" t="str">
        <f>VLOOKUP(Tabela134[[#This Row],[Espécie]],Tabela2[[#All],[Espécie]:[Categoria de risco]],4,FALSE)</f>
        <v>Menos preocupante</v>
      </c>
      <c r="G70" s="60" t="s">
        <v>770</v>
      </c>
      <c r="H70" s="152" t="str">
        <f>VLOOKUP(Tabela134[[#This Row],[UC]],Tabela6[[#All],[UC]:[UF]],2,FALSE)</f>
        <v>RS</v>
      </c>
      <c r="I70" s="230" t="s">
        <v>610</v>
      </c>
      <c r="J70" s="192">
        <f>IFERROR(VLOOKUP(Tabela134[[#This Row],[Espécie]],Tabela8[[#All],[Espécie]:[Nome fantasia]],4, FALSE), 0)</f>
        <v>0</v>
      </c>
      <c r="K70" s="165" t="s">
        <v>592</v>
      </c>
      <c r="L70" s="165" t="s">
        <v>592</v>
      </c>
    </row>
    <row r="71" spans="1:12" ht="19.5" customHeight="1">
      <c r="A71" s="152" t="s">
        <v>590</v>
      </c>
      <c r="B71" s="173" t="s">
        <v>790</v>
      </c>
      <c r="C71" s="152" t="str">
        <f>VLOOKUP(Tabela134[[#This Row],[Espécie]],Tabela2[[#All],[Espécie]:[Categoria de risco]],2,FALSE)</f>
        <v>Maçarico-branco</v>
      </c>
      <c r="D71" s="152" t="str">
        <f>VLOOKUP(Tabela134[[#This Row],[Espécie]],Tabela2[[#All],[Espécie]:[Categoria de risco]],3,FALSE)</f>
        <v>Aves</v>
      </c>
      <c r="E71" s="152" t="str">
        <f>VLOOKUP(Tabela134[[#This Row],[Espécie]],Tabela2[[#All],[Espécie]:[Categoria de risco]],4,FALSE)</f>
        <v>Menos preocupante</v>
      </c>
      <c r="G71" s="60" t="s">
        <v>770</v>
      </c>
      <c r="H71" s="152" t="str">
        <f>VLOOKUP(Tabela134[[#This Row],[UC]],Tabela6[[#All],[UC]:[UF]],2,FALSE)</f>
        <v>RS</v>
      </c>
      <c r="I71" s="230" t="s">
        <v>592</v>
      </c>
      <c r="J71" s="192" t="str">
        <f>IFERROR(VLOOKUP(Tabela134[[#This Row],[Espécie]],Tabela8[[#All],[Espécie]:[Nome fantasia]],4, FALSE), 0)</f>
        <v>Aves Limícolas Migratórias - 2º ciclo</v>
      </c>
      <c r="K71" s="165" t="s">
        <v>592</v>
      </c>
      <c r="L71" s="165" t="s">
        <v>592</v>
      </c>
    </row>
    <row r="72" spans="1:12" ht="19.5" customHeight="1">
      <c r="A72" s="152" t="s">
        <v>590</v>
      </c>
      <c r="B72" s="171" t="s">
        <v>644</v>
      </c>
      <c r="C72" s="152" t="str">
        <f>VLOOKUP(Tabela134[[#This Row],[Espécie]],Tabela2[[#All],[Espécie]:[Categoria de risco]],2,FALSE)</f>
        <v>maçarico-de-papo-vermelho</v>
      </c>
      <c r="D72" s="152" t="str">
        <f>VLOOKUP(Tabela134[[#This Row],[Espécie]],Tabela2[[#All],[Espécie]:[Categoria de risco]],3,FALSE)</f>
        <v>Aves</v>
      </c>
      <c r="E72" s="152" t="str">
        <f>VLOOKUP(Tabela134[[#This Row],[Espécie]],Tabela2[[#All],[Espécie]:[Categoria de risco]],4,FALSE)</f>
        <v>Vulnerável</v>
      </c>
      <c r="G72" s="60" t="s">
        <v>643</v>
      </c>
      <c r="H72" s="152" t="str">
        <f>VLOOKUP(Tabela134[[#This Row],[UC]],Tabela6[[#All],[UC]:[UF]],2,FALSE)</f>
        <v>SC</v>
      </c>
      <c r="I72" s="230" t="s">
        <v>592</v>
      </c>
      <c r="J72" s="192" t="str">
        <f>IFERROR(VLOOKUP(Tabela134[[#This Row],[Espécie]],Tabela8[[#All],[Espécie]:[Nome fantasia]],4, FALSE), 0)</f>
        <v>Aves Limícolas Migratórias - 2º ciclo</v>
      </c>
      <c r="K72" s="165" t="s">
        <v>592</v>
      </c>
      <c r="L72" s="165" t="s">
        <v>592</v>
      </c>
    </row>
    <row r="73" spans="1:12" ht="19.5" customHeight="1">
      <c r="A73" s="152" t="s">
        <v>590</v>
      </c>
      <c r="B73" s="171" t="s">
        <v>644</v>
      </c>
      <c r="C73" s="152" t="str">
        <f>VLOOKUP(Tabela134[[#This Row],[Espécie]],Tabela2[[#All],[Espécie]:[Categoria de risco]],2,FALSE)</f>
        <v>maçarico-de-papo-vermelho</v>
      </c>
      <c r="D73" s="152" t="str">
        <f>VLOOKUP(Tabela134[[#This Row],[Espécie]],Tabela2[[#All],[Espécie]:[Categoria de risco]],3,FALSE)</f>
        <v>Aves</v>
      </c>
      <c r="E73" s="152" t="str">
        <f>VLOOKUP(Tabela134[[#This Row],[Espécie]],Tabela2[[#All],[Espécie]:[Categoria de risco]],4,FALSE)</f>
        <v>Vulnerável</v>
      </c>
      <c r="G73" s="60" t="s">
        <v>680</v>
      </c>
      <c r="H73" s="152" t="str">
        <f>VLOOKUP(Tabela134[[#This Row],[UC]],Tabela6[[#All],[UC]:[UF]],2,FALSE)</f>
        <v>RS</v>
      </c>
      <c r="I73" s="230" t="s">
        <v>592</v>
      </c>
      <c r="J73" s="192" t="str">
        <f>IFERROR(VLOOKUP(Tabela134[[#This Row],[Espécie]],Tabela8[[#All],[Espécie]:[Nome fantasia]],4, FALSE), 0)</f>
        <v>Aves Limícolas Migratórias - 2º ciclo</v>
      </c>
      <c r="K73" s="165" t="s">
        <v>610</v>
      </c>
      <c r="L73" s="165" t="s">
        <v>592</v>
      </c>
    </row>
    <row r="74" spans="1:12" ht="19.5" customHeight="1">
      <c r="A74" s="152" t="s">
        <v>590</v>
      </c>
      <c r="B74" s="171" t="s">
        <v>644</v>
      </c>
      <c r="C74" s="152" t="str">
        <f>VLOOKUP(Tabela134[[#This Row],[Espécie]],Tabela2[[#All],[Espécie]:[Categoria de risco]],2,FALSE)</f>
        <v>maçarico-de-papo-vermelho</v>
      </c>
      <c r="D74" s="152" t="str">
        <f>VLOOKUP(Tabela134[[#This Row],[Espécie]],Tabela2[[#All],[Espécie]:[Categoria de risco]],3,FALSE)</f>
        <v>Aves</v>
      </c>
      <c r="E74" s="152" t="str">
        <f>VLOOKUP(Tabela134[[#This Row],[Espécie]],Tabela2[[#All],[Espécie]:[Categoria de risco]],4,FALSE)</f>
        <v>Vulnerável</v>
      </c>
      <c r="G74" s="60" t="s">
        <v>730</v>
      </c>
      <c r="H74" s="152" t="str">
        <f>VLOOKUP(Tabela134[[#This Row],[UC]],Tabela6[[#All],[UC]:[UF]],2,FALSE)</f>
        <v>SC</v>
      </c>
      <c r="I74" s="230" t="s">
        <v>592</v>
      </c>
      <c r="J74" s="192" t="str">
        <f>IFERROR(VLOOKUP(Tabela134[[#This Row],[Espécie]],Tabela8[[#All],[Espécie]:[Nome fantasia]],4, FALSE), 0)</f>
        <v>Aves Limícolas Migratórias - 2º ciclo</v>
      </c>
      <c r="K74" s="165" t="s">
        <v>592</v>
      </c>
      <c r="L74" s="165" t="s">
        <v>592</v>
      </c>
    </row>
    <row r="75" spans="1:12" ht="19.5" customHeight="1">
      <c r="A75" s="152" t="s">
        <v>590</v>
      </c>
      <c r="B75" s="171" t="s">
        <v>644</v>
      </c>
      <c r="C75" s="152" t="str">
        <f>VLOOKUP(Tabela134[[#This Row],[Espécie]],Tabela2[[#All],[Espécie]:[Categoria de risco]],2,FALSE)</f>
        <v>maçarico-de-papo-vermelho</v>
      </c>
      <c r="D75" s="152" t="str">
        <f>VLOOKUP(Tabela134[[#This Row],[Espécie]],Tabela2[[#All],[Espécie]:[Categoria de risco]],3,FALSE)</f>
        <v>Aves</v>
      </c>
      <c r="E75" s="152" t="str">
        <f>VLOOKUP(Tabela134[[#This Row],[Espécie]],Tabela2[[#All],[Espécie]:[Categoria de risco]],4,FALSE)</f>
        <v>Vulnerável</v>
      </c>
      <c r="G75" s="60" t="s">
        <v>770</v>
      </c>
      <c r="H75" s="152" t="str">
        <f>VLOOKUP(Tabela134[[#This Row],[UC]],Tabela6[[#All],[UC]:[UF]],2,FALSE)</f>
        <v>RS</v>
      </c>
      <c r="I75" s="230" t="s">
        <v>592</v>
      </c>
      <c r="J75" s="192" t="str">
        <f>IFERROR(VLOOKUP(Tabela134[[#This Row],[Espécie]],Tabela8[[#All],[Espécie]:[Nome fantasia]],4, FALSE), 0)</f>
        <v>Aves Limícolas Migratórias - 2º ciclo</v>
      </c>
      <c r="K75" s="165" t="s">
        <v>592</v>
      </c>
      <c r="L75" s="165" t="s">
        <v>592</v>
      </c>
    </row>
    <row r="76" spans="1:12" ht="19.5" customHeight="1">
      <c r="A76" s="152" t="s">
        <v>590</v>
      </c>
      <c r="B76" s="171" t="s">
        <v>645</v>
      </c>
      <c r="C76" s="152" t="str">
        <f>VLOOKUP(Tabela134[[#This Row],[Espécie]],Tabela2[[#All],[Espécie]:[Categoria de risco]],2,FALSE)</f>
        <v>maçarico-rasteirinho</v>
      </c>
      <c r="D76" s="152" t="str">
        <f>VLOOKUP(Tabela134[[#This Row],[Espécie]],Tabela2[[#All],[Espécie]:[Categoria de risco]],3,FALSE)</f>
        <v>Aves</v>
      </c>
      <c r="E76" s="152" t="str">
        <f>VLOOKUP(Tabela134[[#This Row],[Espécie]],Tabela2[[#All],[Espécie]:[Categoria de risco]],4,FALSE)</f>
        <v>Em Perigo</v>
      </c>
      <c r="G76" s="60" t="s">
        <v>643</v>
      </c>
      <c r="H76" s="152" t="str">
        <f>VLOOKUP(Tabela134[[#This Row],[UC]],Tabela6[[#All],[UC]:[UF]],2,FALSE)</f>
        <v>SC</v>
      </c>
      <c r="I76" s="230" t="s">
        <v>592</v>
      </c>
      <c r="J76" s="192" t="str">
        <f>IFERROR(VLOOKUP(Tabela134[[#This Row],[Espécie]],Tabela8[[#All],[Espécie]:[Nome fantasia]],4, FALSE), 0)</f>
        <v>Aves Limícolas Migratórias - 2º ciclo</v>
      </c>
      <c r="K76" s="165" t="s">
        <v>592</v>
      </c>
      <c r="L76" s="165" t="s">
        <v>592</v>
      </c>
    </row>
    <row r="77" spans="1:12" ht="19.5" customHeight="1">
      <c r="A77" s="152" t="s">
        <v>590</v>
      </c>
      <c r="B77" s="171" t="s">
        <v>645</v>
      </c>
      <c r="C77" s="152" t="str">
        <f>VLOOKUP(Tabela134[[#This Row],[Espécie]],Tabela2[[#All],[Espécie]:[Categoria de risco]],2,FALSE)</f>
        <v>maçarico-rasteirinho</v>
      </c>
      <c r="D77" s="152" t="str">
        <f>VLOOKUP(Tabela134[[#This Row],[Espécie]],Tabela2[[#All],[Espécie]:[Categoria de risco]],3,FALSE)</f>
        <v>Aves</v>
      </c>
      <c r="E77" s="152" t="str">
        <f>VLOOKUP(Tabela134[[#This Row],[Espécie]],Tabela2[[#All],[Espécie]:[Categoria de risco]],4,FALSE)</f>
        <v>Em Perigo</v>
      </c>
      <c r="G77" s="60" t="s">
        <v>680</v>
      </c>
      <c r="H77" s="152" t="str">
        <f>VLOOKUP(Tabela134[[#This Row],[UC]],Tabela6[[#All],[UC]:[UF]],2,FALSE)</f>
        <v>RS</v>
      </c>
      <c r="I77" s="230" t="s">
        <v>592</v>
      </c>
      <c r="J77" s="192" t="str">
        <f>IFERROR(VLOOKUP(Tabela134[[#This Row],[Espécie]],Tabela8[[#All],[Espécie]:[Nome fantasia]],4, FALSE), 0)</f>
        <v>Aves Limícolas Migratórias - 2º ciclo</v>
      </c>
      <c r="K77" s="165" t="s">
        <v>610</v>
      </c>
      <c r="L77" s="165" t="s">
        <v>592</v>
      </c>
    </row>
    <row r="78" spans="1:12" ht="19.5" customHeight="1">
      <c r="A78" s="152" t="s">
        <v>590</v>
      </c>
      <c r="B78" s="171" t="s">
        <v>683</v>
      </c>
      <c r="C78" s="152" t="str">
        <f>VLOOKUP(Tabela134[[#This Row],[Espécie]],Tabela2[[#All],[Espécie]:[Categoria de risco]],2,FALSE)</f>
        <v>maçarico-acanelado</v>
      </c>
      <c r="D78" s="152" t="str">
        <f>VLOOKUP(Tabela134[[#This Row],[Espécie]],Tabela2[[#All],[Espécie]:[Categoria de risco]],3,FALSE)</f>
        <v>Aves</v>
      </c>
      <c r="E78" s="152" t="str">
        <f>VLOOKUP(Tabela134[[#This Row],[Espécie]],Tabela2[[#All],[Espécie]:[Categoria de risco]],4,FALSE)</f>
        <v>Vulnerável</v>
      </c>
      <c r="G78" s="60" t="s">
        <v>680</v>
      </c>
      <c r="H78" s="152" t="str">
        <f>VLOOKUP(Tabela134[[#This Row],[UC]],Tabela6[[#All],[UC]:[UF]],2,FALSE)</f>
        <v>RS</v>
      </c>
      <c r="I78" s="230" t="s">
        <v>592</v>
      </c>
      <c r="J78" s="192" t="str">
        <f>IFERROR(VLOOKUP(Tabela134[[#This Row],[Espécie]],Tabela8[[#All],[Espécie]:[Nome fantasia]],4, FALSE), 0)</f>
        <v>Aves Limícolas Migratórias - 2º ciclo</v>
      </c>
      <c r="K78" s="165" t="s">
        <v>610</v>
      </c>
      <c r="L78" s="165" t="s">
        <v>592</v>
      </c>
    </row>
    <row r="79" spans="1:12" ht="19.5" customHeight="1">
      <c r="A79" s="152" t="s">
        <v>590</v>
      </c>
      <c r="B79" s="173" t="s">
        <v>847</v>
      </c>
      <c r="C79" s="152" t="str">
        <f>VLOOKUP(Tabela134[[#This Row],[Espécie]],Tabela2[[#All],[Espécie]:[Categoria de risco]],2,FALSE)</f>
        <v>Xaréu</v>
      </c>
      <c r="D79" s="152" t="str">
        <f>VLOOKUP(Tabela134[[#This Row],[Espécie]],Tabela2[[#All],[Espécie]:[Categoria de risco]],3,FALSE)</f>
        <v>Peixes Marinhos (ósseos)</v>
      </c>
      <c r="E79" s="152" t="str">
        <f>VLOOKUP(Tabela134[[#This Row],[Espécie]],Tabela2[[#All],[Espécie]:[Categoria de risco]],4,FALSE)</f>
        <v>Menos preocupante</v>
      </c>
      <c r="F79" s="152" t="s">
        <v>695</v>
      </c>
      <c r="G79" s="60" t="s">
        <v>770</v>
      </c>
      <c r="H79" s="152" t="str">
        <f>VLOOKUP(Tabela134[[#This Row],[UC]],Tabela6[[#All],[UC]:[UF]],2,FALSE)</f>
        <v>RS</v>
      </c>
      <c r="I79" s="230" t="s">
        <v>610</v>
      </c>
      <c r="J79" s="192">
        <f>IFERROR(VLOOKUP(Tabela134[[#This Row],[Espécie]],Tabela8[[#All],[Espécie]:[Nome fantasia]],4, FALSE), 0)</f>
        <v>0</v>
      </c>
      <c r="K79" s="165" t="s">
        <v>592</v>
      </c>
      <c r="L79" s="165" t="s">
        <v>592</v>
      </c>
    </row>
    <row r="80" spans="1:12" ht="19.5" customHeight="1">
      <c r="A80" s="152" t="s">
        <v>590</v>
      </c>
      <c r="B80" s="173" t="s">
        <v>850</v>
      </c>
      <c r="C80" s="152" t="str">
        <f>VLOOKUP(Tabela134[[#This Row],[Espécie]],Tabela2[[#All],[Espécie]:[Categoria de risco]],2,FALSE)</f>
        <v>Xerelete</v>
      </c>
      <c r="D80" s="152" t="str">
        <f>VLOOKUP(Tabela134[[#This Row],[Espécie]],Tabela2[[#All],[Espécie]:[Categoria de risco]],3,FALSE)</f>
        <v>Peixes Marinhos (ósseos)</v>
      </c>
      <c r="E80" s="152" t="str">
        <f>VLOOKUP(Tabela134[[#This Row],[Espécie]],Tabela2[[#All],[Espécie]:[Categoria de risco]],4,FALSE)</f>
        <v>Menos preocupante</v>
      </c>
      <c r="F80" s="152" t="s">
        <v>695</v>
      </c>
      <c r="G80" s="60" t="s">
        <v>770</v>
      </c>
      <c r="H80" s="152" t="str">
        <f>VLOOKUP(Tabela134[[#This Row],[UC]],Tabela6[[#All],[UC]:[UF]],2,FALSE)</f>
        <v>RS</v>
      </c>
      <c r="I80" s="230" t="s">
        <v>610</v>
      </c>
      <c r="J80" s="192">
        <f>IFERROR(VLOOKUP(Tabela134[[#This Row],[Espécie]],Tabela8[[#All],[Espécie]:[Nome fantasia]],4, FALSE), 0)</f>
        <v>0</v>
      </c>
      <c r="K80" s="165" t="s">
        <v>592</v>
      </c>
      <c r="L80" s="165" t="s">
        <v>592</v>
      </c>
    </row>
    <row r="81" spans="1:24" ht="19.5" customHeight="1">
      <c r="A81" s="175" t="s">
        <v>2320</v>
      </c>
      <c r="B81" s="147" t="s">
        <v>1730</v>
      </c>
      <c r="C81" s="152" t="str">
        <f>VLOOKUP(Tabela134[[#This Row],[Espécie]],Tabela2[[#All],[Espécie]:[Categoria de risco]],2,FALSE)</f>
        <v>cabeça-chata, cação-baiacu, cação-de-rio, pirarara, tubarão-touro</v>
      </c>
      <c r="D81" s="179" t="str">
        <f>VLOOKUP(Tabela134[[#This Row],[Espécie]],Tabela2[[#All],[Espécie]:[Categoria de risco]],3,FALSE)</f>
        <v>Tubarões e Raias</v>
      </c>
      <c r="E81" s="152" t="str">
        <f>VLOOKUP(Tabela134[[#This Row],[Espécie]],Tabela2[[#All],[Espécie]:[Categoria de risco]],4,FALSE)</f>
        <v>Vulnerável</v>
      </c>
      <c r="F81" s="175" t="s">
        <v>2313</v>
      </c>
      <c r="G81" s="174" t="s">
        <v>730</v>
      </c>
      <c r="H81" s="152" t="str">
        <f>VLOOKUP(Tabela134[[#This Row],[UC]],Tabela6[[#All],[UC]:[UF]],2,FALSE)</f>
        <v>SC</v>
      </c>
      <c r="I81" s="230" t="s">
        <v>592</v>
      </c>
      <c r="J81" s="192" t="str">
        <f>IFERROR(VLOOKUP(Tabela134[[#This Row],[Espécie]],Tabela8[[#All],[Espécie]:[Nome fantasia]],4, FALSE), 0)</f>
        <v xml:space="preserve">Tubarões - 2º ciclo </v>
      </c>
      <c r="K81" s="165" t="s">
        <v>610</v>
      </c>
      <c r="L81" s="165" t="s">
        <v>610</v>
      </c>
    </row>
    <row r="82" spans="1:24" ht="19.5" customHeight="1">
      <c r="A82" s="175" t="s">
        <v>2320</v>
      </c>
      <c r="B82" s="147" t="s">
        <v>1732</v>
      </c>
      <c r="C82" s="152" t="str">
        <f>VLOOKUP(Tabela134[[#This Row],[Espécie]],Tabela2[[#All],[Espécie]:[Categoria de risco]],2,FALSE)</f>
        <v>cabeça-chata-do-sul, cação-baía, cação-fidalgo, machote</v>
      </c>
      <c r="D82" s="179" t="str">
        <f>VLOOKUP(Tabela134[[#This Row],[Espécie]],Tabela2[[#All],[Espécie]:[Categoria de risco]],3,FALSE)</f>
        <v>Tubarões e Raias</v>
      </c>
      <c r="E82" s="152" t="str">
        <f>VLOOKUP(Tabela134[[#This Row],[Espécie]],Tabela2[[#All],[Espécie]:[Categoria de risco]],4,FALSE)</f>
        <v>Em Perigo</v>
      </c>
      <c r="F82" s="175" t="s">
        <v>2313</v>
      </c>
      <c r="G82" s="174" t="s">
        <v>91</v>
      </c>
      <c r="H82" s="152" t="str">
        <f>VLOOKUP(Tabela134[[#This Row],[UC]],Tabela6[[#All],[UC]:[UF]],2,FALSE)</f>
        <v>SC</v>
      </c>
      <c r="I82" s="230" t="s">
        <v>592</v>
      </c>
      <c r="J82" s="192" t="str">
        <f>IFERROR(VLOOKUP(Tabela134[[#This Row],[Espécie]],Tabela8[[#All],[Espécie]:[Nome fantasia]],4, FALSE), 0)</f>
        <v xml:space="preserve">Tubarões - 2º ciclo </v>
      </c>
      <c r="K82" s="165" t="s">
        <v>610</v>
      </c>
      <c r="L82" s="165" t="s">
        <v>610</v>
      </c>
    </row>
    <row r="83" spans="1:24" ht="19.5" customHeight="1">
      <c r="A83" s="175" t="s">
        <v>2320</v>
      </c>
      <c r="B83" s="147" t="s">
        <v>1734</v>
      </c>
      <c r="C83" s="152" t="str">
        <f>VLOOKUP(Tabela134[[#This Row],[Espécie]],Tabela2[[#All],[Espécie]:[Categoria de risco]],2,FALSE)</f>
        <v>tubarão-galhudo, tubarão-sucuri</v>
      </c>
      <c r="D83" s="179" t="str">
        <f>VLOOKUP(Tabela134[[#This Row],[Espécie]],Tabela2[[#All],[Espécie]:[Categoria de risco]],3,FALSE)</f>
        <v>Tubarões e Raias</v>
      </c>
      <c r="E83" s="152" t="str">
        <f>VLOOKUP(Tabela134[[#This Row],[Espécie]],Tabela2[[#All],[Espécie]:[Categoria de risco]],4,FALSE)</f>
        <v>Criticamente em Perigo</v>
      </c>
      <c r="F83" s="175" t="s">
        <v>2313</v>
      </c>
      <c r="G83" s="175" t="s">
        <v>613</v>
      </c>
      <c r="H83" s="152" t="str">
        <f>VLOOKUP(Tabela134[[#This Row],[UC]],Tabela6[[#All],[UC]:[UF]],2,FALSE)</f>
        <v>SP/PR</v>
      </c>
      <c r="I83" s="230" t="s">
        <v>592</v>
      </c>
      <c r="J83" s="192" t="str">
        <f>IFERROR(VLOOKUP(Tabela134[[#This Row],[Espécie]],Tabela8[[#All],[Espécie]:[Nome fantasia]],4, FALSE), 0)</f>
        <v xml:space="preserve">Tubarões - 2º ciclo </v>
      </c>
      <c r="K83" s="165" t="s">
        <v>610</v>
      </c>
      <c r="L83" s="165" t="s">
        <v>610</v>
      </c>
    </row>
    <row r="84" spans="1:24" ht="19.5" customHeight="1">
      <c r="A84" s="175" t="s">
        <v>2320</v>
      </c>
      <c r="B84" s="147" t="s">
        <v>1734</v>
      </c>
      <c r="C84" s="152" t="str">
        <f>VLOOKUP(Tabela134[[#This Row],[Espécie]],Tabela2[[#All],[Espécie]:[Categoria de risco]],2,FALSE)</f>
        <v>tubarão-galhudo, tubarão-sucuri</v>
      </c>
      <c r="D84" s="179" t="str">
        <f>VLOOKUP(Tabela134[[#This Row],[Espécie]],Tabela2[[#All],[Espécie]:[Categoria de risco]],3,FALSE)</f>
        <v>Tubarões e Raias</v>
      </c>
      <c r="E84" s="152" t="str">
        <f>VLOOKUP(Tabela134[[#This Row],[Espécie]],Tabela2[[#All],[Espécie]:[Categoria de risco]],4,FALSE)</f>
        <v>Criticamente em Perigo</v>
      </c>
      <c r="F84" s="175" t="s">
        <v>2313</v>
      </c>
      <c r="G84" s="175" t="s">
        <v>91</v>
      </c>
      <c r="H84" s="152" t="str">
        <f>VLOOKUP(Tabela134[[#This Row],[UC]],Tabela6[[#All],[UC]:[UF]],2,FALSE)</f>
        <v>SC</v>
      </c>
      <c r="I84" s="230" t="s">
        <v>592</v>
      </c>
      <c r="J84" s="192" t="str">
        <f>IFERROR(VLOOKUP(Tabela134[[#This Row],[Espécie]],Tabela8[[#All],[Espécie]:[Nome fantasia]],4, FALSE), 0)</f>
        <v xml:space="preserve">Tubarões - 2º ciclo </v>
      </c>
      <c r="K84" s="165" t="s">
        <v>610</v>
      </c>
      <c r="L84" s="165" t="s">
        <v>610</v>
      </c>
    </row>
    <row r="85" spans="1:24" ht="19.5" customHeight="1">
      <c r="A85" s="175" t="s">
        <v>2320</v>
      </c>
      <c r="B85" s="147" t="s">
        <v>1734</v>
      </c>
      <c r="C85" s="152" t="str">
        <f>VLOOKUP(Tabela134[[#This Row],[Espécie]],Tabela2[[#All],[Espécie]:[Categoria de risco]],2,FALSE)</f>
        <v>tubarão-galhudo, tubarão-sucuri</v>
      </c>
      <c r="D85" s="179" t="str">
        <f>VLOOKUP(Tabela134[[#This Row],[Espécie]],Tabela2[[#All],[Espécie]:[Categoria de risco]],3,FALSE)</f>
        <v>Tubarões e Raias</v>
      </c>
      <c r="E85" s="152" t="str">
        <f>VLOOKUP(Tabela134[[#This Row],[Espécie]],Tabela2[[#All],[Espécie]:[Categoria de risco]],4,FALSE)</f>
        <v>Criticamente em Perigo</v>
      </c>
      <c r="F85" s="175" t="s">
        <v>2313</v>
      </c>
      <c r="G85" s="175" t="s">
        <v>718</v>
      </c>
      <c r="H85" s="152" t="str">
        <f>VLOOKUP(Tabela134[[#This Row],[UC]],Tabela6[[#All],[UC]:[UF]],2,FALSE)</f>
        <v>SP/PR</v>
      </c>
      <c r="I85" s="230" t="s">
        <v>592</v>
      </c>
      <c r="J85" s="192" t="str">
        <f>IFERROR(VLOOKUP(Tabela134[[#This Row],[Espécie]],Tabela8[[#All],[Espécie]:[Nome fantasia]],4, FALSE), 0)</f>
        <v xml:space="preserve">Tubarões - 2º ciclo </v>
      </c>
      <c r="K85" s="165" t="s">
        <v>610</v>
      </c>
      <c r="L85" s="165" t="s">
        <v>610</v>
      </c>
    </row>
    <row r="86" spans="1:24" ht="19.5" customHeight="1">
      <c r="A86" s="175" t="s">
        <v>2320</v>
      </c>
      <c r="B86" s="147" t="s">
        <v>1734</v>
      </c>
      <c r="C86" s="152" t="str">
        <f>VLOOKUP(Tabela134[[#This Row],[Espécie]],Tabela2[[#All],[Espécie]:[Categoria de risco]],2,FALSE)</f>
        <v>tubarão-galhudo, tubarão-sucuri</v>
      </c>
      <c r="D86" s="179" t="str">
        <f>VLOOKUP(Tabela134[[#This Row],[Espécie]],Tabela2[[#All],[Espécie]:[Categoria de risco]],3,FALSE)</f>
        <v>Tubarões e Raias</v>
      </c>
      <c r="E86" s="152" t="str">
        <f>VLOOKUP(Tabela134[[#This Row],[Espécie]],Tabela2[[#All],[Espécie]:[Categoria de risco]],4,FALSE)</f>
        <v>Criticamente em Perigo</v>
      </c>
      <c r="F86" s="175" t="s">
        <v>2313</v>
      </c>
      <c r="G86" s="175" t="s">
        <v>730</v>
      </c>
      <c r="H86" s="152" t="str">
        <f>VLOOKUP(Tabela134[[#This Row],[UC]],Tabela6[[#All],[UC]:[UF]],2,FALSE)</f>
        <v>SC</v>
      </c>
      <c r="I86" s="230" t="s">
        <v>592</v>
      </c>
      <c r="J86" s="192" t="str">
        <f>IFERROR(VLOOKUP(Tabela134[[#This Row],[Espécie]],Tabela8[[#All],[Espécie]:[Nome fantasia]],4, FALSE), 0)</f>
        <v xml:space="preserve">Tubarões - 2º ciclo </v>
      </c>
      <c r="K86" s="165" t="s">
        <v>610</v>
      </c>
      <c r="L86" s="165" t="s">
        <v>610</v>
      </c>
    </row>
    <row r="87" spans="1:24" ht="19.5" customHeight="1">
      <c r="A87" s="175" t="s">
        <v>2320</v>
      </c>
      <c r="B87" s="147" t="s">
        <v>1736</v>
      </c>
      <c r="C87" s="152" t="str">
        <f>VLOOKUP(Tabela134[[#This Row],[Espécie]],Tabela2[[#All],[Espécie]:[Categoria de risco]],2,FALSE)</f>
        <v>Cação-azeiteiro</v>
      </c>
      <c r="D87" s="179" t="str">
        <f>VLOOKUP(Tabela134[[#This Row],[Espécie]],Tabela2[[#All],[Espécie]:[Categoria de risco]],3,FALSE)</f>
        <v>Tubarões e Raias</v>
      </c>
      <c r="E87" s="152" t="str">
        <f>VLOOKUP(Tabela134[[#This Row],[Espécie]],Tabela2[[#All],[Espécie]:[Categoria de risco]],4,FALSE)</f>
        <v>Criticamente em Perigo</v>
      </c>
      <c r="F87" s="175" t="s">
        <v>2313</v>
      </c>
      <c r="G87" s="174" t="s">
        <v>91</v>
      </c>
      <c r="H87" s="152" t="str">
        <f>VLOOKUP(Tabela134[[#This Row],[UC]],Tabela6[[#All],[UC]:[UF]],2,FALSE)</f>
        <v>SC</v>
      </c>
      <c r="I87" s="230" t="s">
        <v>592</v>
      </c>
      <c r="J87" s="192" t="str">
        <f>IFERROR(VLOOKUP(Tabela134[[#This Row],[Espécie]],Tabela8[[#All],[Espécie]:[Nome fantasia]],4, FALSE), 0)</f>
        <v xml:space="preserve">Tubarões - 2º ciclo </v>
      </c>
      <c r="K87" s="165" t="s">
        <v>610</v>
      </c>
      <c r="L87" s="165" t="s">
        <v>610</v>
      </c>
    </row>
    <row r="88" spans="1:24" ht="19.5" customHeight="1">
      <c r="A88" s="152" t="s">
        <v>590</v>
      </c>
      <c r="B88" s="171" t="s">
        <v>772</v>
      </c>
      <c r="C88" s="152" t="str">
        <f>VLOOKUP(Tabela134[[#This Row],[Espécie]],Tabela2[[#All],[Espécie]:[Categoria de risco]],2,FALSE)</f>
        <v>cação-da-areia, cação-mangona, caçoa, tubarão-mangona</v>
      </c>
      <c r="D88" s="152" t="str">
        <f>VLOOKUP(Tabela134[[#This Row],[Espécie]],Tabela2[[#All],[Espécie]:[Categoria de risco]],3,FALSE)</f>
        <v>Tubarões e Raias</v>
      </c>
      <c r="E88" s="152" t="str">
        <f>VLOOKUP(Tabela134[[#This Row],[Espécie]],Tabela2[[#All],[Espécie]:[Categoria de risco]],4,FALSE)</f>
        <v>Criticamente em Perigo</v>
      </c>
      <c r="G88" s="60" t="s">
        <v>770</v>
      </c>
      <c r="H88" s="152" t="str">
        <f>VLOOKUP(Tabela134[[#This Row],[UC]],Tabela6[[#All],[UC]:[UF]],2,FALSE)</f>
        <v>RS</v>
      </c>
      <c r="I88" s="230" t="s">
        <v>592</v>
      </c>
      <c r="J88" s="192" t="str">
        <f>IFERROR(VLOOKUP(Tabela134[[#This Row],[Espécie]],Tabela8[[#All],[Espécie]:[Nome fantasia]],4, FALSE), 0)</f>
        <v xml:space="preserve">Tubarões - 2º ciclo </v>
      </c>
      <c r="K88" s="165" t="s">
        <v>592</v>
      </c>
      <c r="L88" s="165" t="s">
        <v>592</v>
      </c>
    </row>
    <row r="89" spans="1:24" ht="19.5" customHeight="1">
      <c r="A89" s="175" t="s">
        <v>2320</v>
      </c>
      <c r="B89" s="147" t="s">
        <v>1739</v>
      </c>
      <c r="C89" s="152" t="str">
        <f>VLOOKUP(Tabela134[[#This Row],[Espécie]],Tabela2[[#All],[Espécie]:[Categoria de risco]],2,FALSE)</f>
        <v>tubarão-branco</v>
      </c>
      <c r="D89" s="179" t="str">
        <f>VLOOKUP(Tabela134[[#This Row],[Espécie]],Tabela2[[#All],[Espécie]:[Categoria de risco]],3,FALSE)</f>
        <v>Tubarões e Raias</v>
      </c>
      <c r="E89" s="152" t="str">
        <f>VLOOKUP(Tabela134[[#This Row],[Espécie]],Tabela2[[#All],[Espécie]:[Categoria de risco]],4,FALSE)</f>
        <v>Vulnerável</v>
      </c>
      <c r="F89" s="175" t="s">
        <v>2313</v>
      </c>
      <c r="G89" s="174" t="s">
        <v>770</v>
      </c>
      <c r="H89" s="152" t="str">
        <f>VLOOKUP(Tabela134[[#This Row],[UC]],Tabela6[[#All],[UC]:[UF]],2,FALSE)</f>
        <v>RS</v>
      </c>
      <c r="I89" s="230" t="s">
        <v>592</v>
      </c>
      <c r="J89" s="192" t="str">
        <f>IFERROR(VLOOKUP(Tabela134[[#This Row],[Espécie]],Tabela8[[#All],[Espécie]:[Nome fantasia]],4, FALSE), 0)</f>
        <v xml:space="preserve">Tubarões - 2º ciclo </v>
      </c>
      <c r="K89" s="165" t="s">
        <v>610</v>
      </c>
      <c r="L89" s="165" t="s">
        <v>610</v>
      </c>
    </row>
    <row r="90" spans="1:24" ht="19.5" customHeight="1">
      <c r="A90" s="152" t="s">
        <v>590</v>
      </c>
      <c r="B90" s="171" t="s">
        <v>591</v>
      </c>
      <c r="C90" s="152" t="str">
        <f>VLOOKUP(Tabela134[[#This Row],[Espécie]],Tabela2[[#All],[Espécie]:[Categoria de risco]],2,FALSE)</f>
        <v>Avó de Aruanã, Careba-dura, Tartaruga amarela, Tartaruga-avó, Tartaruga-cabeçuda, Tartaruga mestiça</v>
      </c>
      <c r="D90" s="152" t="str">
        <f>VLOOKUP(Tabela134[[#This Row],[Espécie]],Tabela2[[#All],[Espécie]:[Categoria de risco]],3,FALSE)</f>
        <v>Répteis</v>
      </c>
      <c r="E90" s="152" t="str">
        <f>VLOOKUP(Tabela134[[#This Row],[Espécie]],Tabela2[[#All],[Espécie]:[Categoria de risco]],4,FALSE)</f>
        <v>Vulnerável</v>
      </c>
      <c r="G90" s="60" t="s">
        <v>91</v>
      </c>
      <c r="H90" s="152" t="str">
        <f>VLOOKUP(Tabela134[[#This Row],[UC]],Tabela6[[#All],[UC]:[UF]],2,FALSE)</f>
        <v>SC</v>
      </c>
      <c r="I90" s="230" t="s">
        <v>592</v>
      </c>
      <c r="J90" s="192" t="str">
        <f>IFERROR(VLOOKUP(Tabela134[[#This Row],[Espécie]],Tabela8[[#All],[Espécie]:[Nome fantasia]],4, FALSE), 0)</f>
        <v>Tartarugas Marinhas - 3º ciclo</v>
      </c>
      <c r="K90" s="165" t="s">
        <v>592</v>
      </c>
      <c r="L90" s="165" t="s">
        <v>592</v>
      </c>
      <c r="N90" s="170" t="s">
        <v>593</v>
      </c>
      <c r="O90" s="152" t="s">
        <v>594</v>
      </c>
      <c r="T90" s="170" t="s">
        <v>595</v>
      </c>
      <c r="W90" s="152" t="s">
        <v>596</v>
      </c>
      <c r="X90" s="152" t="s">
        <v>597</v>
      </c>
    </row>
    <row r="91" spans="1:24" ht="19.5" customHeight="1">
      <c r="A91" s="152" t="s">
        <v>590</v>
      </c>
      <c r="B91" s="171" t="s">
        <v>591</v>
      </c>
      <c r="C91" s="152" t="str">
        <f>VLOOKUP(Tabela134[[#This Row],[Espécie]],Tabela2[[#All],[Espécie]:[Categoria de risco]],2,FALSE)</f>
        <v>Avó de Aruanã, Careba-dura, Tartaruga amarela, Tartaruga-avó, Tartaruga-cabeçuda, Tartaruga mestiça</v>
      </c>
      <c r="D91" s="152" t="str">
        <f>VLOOKUP(Tabela134[[#This Row],[Espécie]],Tabela2[[#All],[Espécie]:[Categoria de risco]],3,FALSE)</f>
        <v>Répteis</v>
      </c>
      <c r="E91" s="152" t="str">
        <f>VLOOKUP(Tabela134[[#This Row],[Espécie]],Tabela2[[#All],[Espécie]:[Categoria de risco]],4,FALSE)</f>
        <v>Vulnerável</v>
      </c>
      <c r="G91" s="60" t="s">
        <v>2322</v>
      </c>
      <c r="H91" s="152" t="str">
        <f>VLOOKUP(Tabela134[[#This Row],[UC]],Tabela6[[#All],[UC]:[UF]],2,FALSE)</f>
        <v>SC</v>
      </c>
      <c r="I91" s="230" t="s">
        <v>592</v>
      </c>
      <c r="J91" s="192" t="str">
        <f>IFERROR(VLOOKUP(Tabela134[[#This Row],[Espécie]],Tabela8[[#All],[Espécie]:[Nome fantasia]],4, FALSE), 0)</f>
        <v>Tartarugas Marinhas - 3º ciclo</v>
      </c>
      <c r="K91" s="165" t="s">
        <v>610</v>
      </c>
      <c r="L91" s="165" t="s">
        <v>610</v>
      </c>
    </row>
    <row r="92" spans="1:24" ht="19.5" customHeight="1">
      <c r="A92" s="152" t="s">
        <v>590</v>
      </c>
      <c r="B92" s="171" t="s">
        <v>616</v>
      </c>
      <c r="C92" s="152" t="str">
        <f>VLOOKUP(Tabela134[[#This Row],[Espécie]],Tabela2[[#All],[Espécie]:[Categoria de risco]],2,FALSE)</f>
        <v>cochó, corocoxó-do-litoral, pião-batata, sabiá-pimenta</v>
      </c>
      <c r="D92" s="152" t="str">
        <f>VLOOKUP(Tabela134[[#This Row],[Espécie]],Tabela2[[#All],[Espécie]:[Categoria de risco]],3,FALSE)</f>
        <v>Aves</v>
      </c>
      <c r="E92" s="152" t="str">
        <f>VLOOKUP(Tabela134[[#This Row],[Espécie]],Tabela2[[#All],[Espécie]:[Categoria de risco]],4,FALSE)</f>
        <v>Quase ameaçada</v>
      </c>
      <c r="G92" s="60" t="s">
        <v>613</v>
      </c>
      <c r="H92" s="152" t="str">
        <f>VLOOKUP(Tabela134[[#This Row],[UC]],Tabela6[[#All],[UC]:[UF]],2,FALSE)</f>
        <v>SP/PR</v>
      </c>
      <c r="I92" s="230" t="s">
        <v>592</v>
      </c>
      <c r="J92" s="192" t="str">
        <f>IFERROR(VLOOKUP(Tabela134[[#This Row],[Espécie]],Tabela8[[#All],[Espécie]:[Nome fantasia]],4, FALSE), 0)</f>
        <v>Aves da Mata Atlântica - 2º ciclo</v>
      </c>
      <c r="K92" s="165" t="s">
        <v>592</v>
      </c>
      <c r="L92" s="165" t="s">
        <v>592</v>
      </c>
    </row>
    <row r="93" spans="1:24" ht="19.5" customHeight="1">
      <c r="A93" s="152" t="s">
        <v>590</v>
      </c>
      <c r="B93" s="171" t="s">
        <v>616</v>
      </c>
      <c r="C93" s="152" t="str">
        <f>VLOOKUP(Tabela134[[#This Row],[Espécie]],Tabela2[[#All],[Espécie]:[Categoria de risco]],2,FALSE)</f>
        <v>cochó, corocoxó-do-litoral, pião-batata, sabiá-pimenta</v>
      </c>
      <c r="D93" s="152" t="str">
        <f>VLOOKUP(Tabela134[[#This Row],[Espécie]],Tabela2[[#All],[Espécie]:[Categoria de risco]],3,FALSE)</f>
        <v>Aves</v>
      </c>
      <c r="E93" s="152" t="str">
        <f>VLOOKUP(Tabela134[[#This Row],[Espécie]],Tabela2[[#All],[Espécie]:[Categoria de risco]],4,FALSE)</f>
        <v>Quase ameaçada</v>
      </c>
      <c r="G93" s="60" t="s">
        <v>718</v>
      </c>
      <c r="H93" s="152" t="str">
        <f>VLOOKUP(Tabela134[[#This Row],[UC]],Tabela6[[#All],[UC]:[UF]],2,FALSE)</f>
        <v>SP/PR</v>
      </c>
      <c r="I93" s="230" t="s">
        <v>592</v>
      </c>
      <c r="J93" s="192" t="str">
        <f>IFERROR(VLOOKUP(Tabela134[[#This Row],[Espécie]],Tabela8[[#All],[Espécie]:[Nome fantasia]],4, FALSE), 0)</f>
        <v>Aves da Mata Atlântica - 2º ciclo</v>
      </c>
      <c r="K93" s="165" t="s">
        <v>592</v>
      </c>
      <c r="L93" s="165" t="s">
        <v>592</v>
      </c>
    </row>
    <row r="94" spans="1:24" ht="19.5" customHeight="1">
      <c r="A94" s="175" t="s">
        <v>2320</v>
      </c>
      <c r="B94" s="147" t="s">
        <v>1341</v>
      </c>
      <c r="C94" s="152" t="str">
        <f>VLOOKUP(Tabela134[[#This Row],[Espécie]],Tabela2[[#All],[Espécie]:[Categoria de risco]],2,FALSE)</f>
        <v>Preá</v>
      </c>
      <c r="D94" s="179" t="str">
        <f>VLOOKUP(Tabela134[[#This Row],[Espécie]],Tabela2[[#All],[Espécie]:[Categoria de risco]],3,FALSE)</f>
        <v>Mamíferos</v>
      </c>
      <c r="E94" s="152" t="str">
        <f>VLOOKUP(Tabela134[[#This Row],[Espécie]],Tabela2[[#All],[Espécie]:[Categoria de risco]],4,FALSE)</f>
        <v>Criticamente em Perigo</v>
      </c>
      <c r="F94" s="175" t="s">
        <v>2313</v>
      </c>
      <c r="G94" s="175" t="s">
        <v>91</v>
      </c>
      <c r="H94" s="152" t="str">
        <f>VLOOKUP(Tabela134[[#This Row],[UC]],Tabela6[[#All],[UC]:[UF]],2,FALSE)</f>
        <v>SC</v>
      </c>
      <c r="I94" s="230" t="s">
        <v>592</v>
      </c>
      <c r="J94" s="192" t="str">
        <f>IFERROR(VLOOKUP(Tabela134[[#This Row],[Espécie]],Tabela8[[#All],[Espécie]:[Nome fantasia]],4, FALSE), 0)</f>
        <v>Pequenos Mamíferos de Áreas Florestais</v>
      </c>
      <c r="K94" s="165" t="s">
        <v>610</v>
      </c>
      <c r="L94" s="165" t="s">
        <v>610</v>
      </c>
    </row>
    <row r="95" spans="1:24" ht="19.5" customHeight="1">
      <c r="A95" s="152" t="s">
        <v>590</v>
      </c>
      <c r="B95" s="173" t="s">
        <v>698</v>
      </c>
      <c r="C95" s="152" t="str">
        <f>VLOOKUP(Tabela134[[#This Row],[Espécie]],Tabela2[[#All],[Espécie]:[Categoria de risco]],2,FALSE)</f>
        <v>pica-pau-de-cara-canela</v>
      </c>
      <c r="D95" s="152" t="str">
        <f>VLOOKUP(Tabela134[[#This Row],[Espécie]],Tabela2[[#All],[Espécie]:[Categoria de risco]],3,FALSE)</f>
        <v>Aves</v>
      </c>
      <c r="E95" s="152" t="str">
        <f>VLOOKUP(Tabela134[[#This Row],[Espécie]],Tabela2[[#All],[Espécie]:[Categoria de risco]],4,FALSE)</f>
        <v>Em Perigo</v>
      </c>
      <c r="F95" s="152" t="s">
        <v>699</v>
      </c>
      <c r="G95" s="60" t="s">
        <v>697</v>
      </c>
      <c r="H95" s="152" t="str">
        <f>VLOOKUP(Tabela134[[#This Row],[UC]],Tabela6[[#All],[UC]:[UF]],2,FALSE)</f>
        <v>PR</v>
      </c>
      <c r="I95" s="230" t="s">
        <v>592</v>
      </c>
      <c r="J95" s="192" t="str">
        <f>IFERROR(VLOOKUP(Tabela134[[#This Row],[Espécie]],Tabela8[[#All],[Espécie]:[Nome fantasia]],4, FALSE), 0)</f>
        <v>Aves da Mata Atlântica - 2º ciclo</v>
      </c>
      <c r="K95" s="165" t="s">
        <v>610</v>
      </c>
      <c r="L95" s="165" t="s">
        <v>592</v>
      </c>
    </row>
    <row r="96" spans="1:24" ht="19.5" customHeight="1">
      <c r="A96" s="152" t="s">
        <v>590</v>
      </c>
      <c r="B96" s="173" t="s">
        <v>698</v>
      </c>
      <c r="C96" s="152" t="str">
        <f>VLOOKUP(Tabela134[[#This Row],[Espécie]],Tabela2[[#All],[Espécie]:[Categoria de risco]],2,FALSE)</f>
        <v>pica-pau-de-cara-canela</v>
      </c>
      <c r="D96" s="152" t="str">
        <f>VLOOKUP(Tabela134[[#This Row],[Espécie]],Tabela2[[#All],[Espécie]:[Categoria de risco]],3,FALSE)</f>
        <v>Aves</v>
      </c>
      <c r="E96" s="152" t="str">
        <f>VLOOKUP(Tabela134[[#This Row],[Espécie]],Tabela2[[#All],[Espécie]:[Categoria de risco]],4,FALSE)</f>
        <v>Em Perigo</v>
      </c>
      <c r="F96" s="152" t="s">
        <v>699</v>
      </c>
      <c r="G96" s="60" t="s">
        <v>715</v>
      </c>
      <c r="H96" s="152" t="str">
        <f>VLOOKUP(Tabela134[[#This Row],[UC]],Tabela6[[#All],[UC]:[UF]],2,FALSE)</f>
        <v>PR</v>
      </c>
      <c r="I96" s="230" t="s">
        <v>592</v>
      </c>
      <c r="J96" s="192" t="str">
        <f>IFERROR(VLOOKUP(Tabela134[[#This Row],[Espécie]],Tabela8[[#All],[Espécie]:[Nome fantasia]],4, FALSE), 0)</f>
        <v>Aves da Mata Atlântica - 2º ciclo</v>
      </c>
      <c r="K96" s="165" t="s">
        <v>592</v>
      </c>
      <c r="L96" s="165" t="s">
        <v>592</v>
      </c>
    </row>
    <row r="97" spans="1:15" ht="19.5" customHeight="1">
      <c r="A97" s="152" t="s">
        <v>590</v>
      </c>
      <c r="B97" s="173" t="s">
        <v>856</v>
      </c>
      <c r="C97" s="152" t="str">
        <f>VLOOKUP(Tabela134[[#This Row],[Espécie]],Tabela2[[#All],[Espécie]:[Categoria de risco]],2,FALSE)</f>
        <v>camurim-branco, camurim-peva, robalo-peva</v>
      </c>
      <c r="D97" s="152" t="str">
        <f>VLOOKUP(Tabela134[[#This Row],[Espécie]],Tabela2[[#All],[Espécie]:[Categoria de risco]],3,FALSE)</f>
        <v>Peixes Marinhos (ósseos)</v>
      </c>
      <c r="E97" s="152" t="str">
        <f>VLOOKUP(Tabela134[[#This Row],[Espécie]],Tabela2[[#All],[Espécie]:[Categoria de risco]],4,FALSE)</f>
        <v>Menos preocupante</v>
      </c>
      <c r="G97" s="60" t="s">
        <v>770</v>
      </c>
      <c r="H97" s="152" t="str">
        <f>VLOOKUP(Tabela134[[#This Row],[UC]],Tabela6[[#All],[UC]:[UF]],2,FALSE)</f>
        <v>RS</v>
      </c>
      <c r="I97" s="230" t="s">
        <v>610</v>
      </c>
      <c r="J97" s="192">
        <f>IFERROR(VLOOKUP(Tabela134[[#This Row],[Espécie]],Tabela8[[#All],[Espécie]:[Nome fantasia]],4, FALSE), 0)</f>
        <v>0</v>
      </c>
      <c r="K97" s="165" t="s">
        <v>592</v>
      </c>
      <c r="L97" s="165" t="s">
        <v>592</v>
      </c>
    </row>
    <row r="98" spans="1:15" ht="19.5" customHeight="1">
      <c r="A98" s="152" t="s">
        <v>590</v>
      </c>
      <c r="B98" s="171" t="s">
        <v>664</v>
      </c>
      <c r="C98" s="152" t="str">
        <f>VLOOKUP(Tabela134[[#This Row],[Espécie]],Tabela2[[#All],[Espécie]:[Categoria de risco]],2,FALSE)</f>
        <v>Cachorro do mato, fusquinho, graxaim, guancito, guaraxaim, lobinho, rabo-fofo, raposa, raposinha-do-mato</v>
      </c>
      <c r="D98" s="152" t="str">
        <f>VLOOKUP(Tabela134[[#This Row],[Espécie]],Tabela2[[#All],[Espécie]:[Categoria de risco]],3,FALSE)</f>
        <v>Mamíferos</v>
      </c>
      <c r="E98" s="152" t="str">
        <f>VLOOKUP(Tabela134[[#This Row],[Espécie]],Tabela2[[#All],[Espécie]:[Categoria de risco]],4,FALSE)</f>
        <v>Menos preocupante</v>
      </c>
      <c r="G98" s="60" t="s">
        <v>726</v>
      </c>
      <c r="H98" s="152" t="str">
        <f>VLOOKUP(Tabela134[[#This Row],[UC]],Tabela6[[#All],[UC]:[UF]],2,FALSE)</f>
        <v>PR</v>
      </c>
      <c r="I98" s="230" t="s">
        <v>610</v>
      </c>
      <c r="J98" s="192">
        <f>IFERROR(VLOOKUP(Tabela134[[#This Row],[Espécie]],Tabela8[[#All],[Espécie]:[Nome fantasia]],4, FALSE), 0)</f>
        <v>0</v>
      </c>
      <c r="K98" s="165" t="s">
        <v>592</v>
      </c>
      <c r="L98" s="165" t="s">
        <v>592</v>
      </c>
    </row>
    <row r="99" spans="1:15" ht="19.5" customHeight="1">
      <c r="A99" s="152" t="s">
        <v>622</v>
      </c>
      <c r="B99" s="171" t="s">
        <v>664</v>
      </c>
      <c r="C99" s="152" t="str">
        <f>VLOOKUP(Tabela134[[#This Row],[Espécie]],Tabela2[[#All],[Espécie]:[Categoria de risco]],2,FALSE)</f>
        <v>Cachorro do mato, fusquinho, graxaim, guancito, guaraxaim, lobinho, rabo-fofo, raposa, raposinha-do-mato</v>
      </c>
      <c r="D99" s="152" t="str">
        <f>VLOOKUP(Tabela134[[#This Row],[Espécie]],Tabela2[[#All],[Espécie]:[Categoria de risco]],3,FALSE)</f>
        <v>Mamíferos</v>
      </c>
      <c r="E99" s="152" t="str">
        <f>VLOOKUP(Tabela134[[#This Row],[Espécie]],Tabela2[[#All],[Espécie]:[Categoria de risco]],4,FALSE)</f>
        <v>Menos preocupante</v>
      </c>
      <c r="G99" s="60" t="s">
        <v>663</v>
      </c>
      <c r="H99" s="152" t="str">
        <f>VLOOKUP(Tabela134[[#This Row],[UC]],Tabela6[[#All],[UC]:[UF]],2,FALSE)</f>
        <v>SC</v>
      </c>
      <c r="I99" s="230" t="s">
        <v>610</v>
      </c>
      <c r="J99" s="192">
        <f>IFERROR(VLOOKUP(Tabela134[[#This Row],[Espécie]],Tabela8[[#All],[Espécie]:[Nome fantasia]],4, FALSE), 0)</f>
        <v>0</v>
      </c>
      <c r="K99" s="165" t="s">
        <v>592</v>
      </c>
      <c r="L99" s="165" t="s">
        <v>592</v>
      </c>
    </row>
    <row r="100" spans="1:15" ht="19.5" customHeight="1">
      <c r="A100" s="175" t="s">
        <v>2320</v>
      </c>
      <c r="B100" s="147" t="s">
        <v>1747</v>
      </c>
      <c r="C100" s="152" t="str">
        <f>VLOOKUP(Tabela134[[#This Row],[Espécie]],Tabela2[[#All],[Espécie]:[Categoria de risco]],2,FALSE)</f>
        <v>Tubarão-peregrino</v>
      </c>
      <c r="D100" s="179" t="str">
        <f>VLOOKUP(Tabela134[[#This Row],[Espécie]],Tabela2[[#All],[Espécie]:[Categoria de risco]],3,FALSE)</f>
        <v>Tubarões e Raias</v>
      </c>
      <c r="E100" s="152" t="str">
        <f>VLOOKUP(Tabela134[[#This Row],[Espécie]],Tabela2[[#All],[Espécie]:[Categoria de risco]],4,FALSE)</f>
        <v>Criticamente em Perigo</v>
      </c>
      <c r="F100" s="175" t="s">
        <v>2313</v>
      </c>
      <c r="G100" s="175" t="s">
        <v>91</v>
      </c>
      <c r="H100" s="152" t="str">
        <f>VLOOKUP(Tabela134[[#This Row],[UC]],Tabela6[[#All],[UC]:[UF]],2,FALSE)</f>
        <v>SC</v>
      </c>
      <c r="I100" s="230" t="s">
        <v>592</v>
      </c>
      <c r="J100" s="192" t="str">
        <f>IFERROR(VLOOKUP(Tabela134[[#This Row],[Espécie]],Tabela8[[#All],[Espécie]:[Nome fantasia]],4, FALSE), 0)</f>
        <v xml:space="preserve">Tubarões - 2º ciclo </v>
      </c>
      <c r="K100" s="165" t="s">
        <v>610</v>
      </c>
      <c r="L100" s="165" t="s">
        <v>610</v>
      </c>
    </row>
    <row r="101" spans="1:15" ht="19.5" customHeight="1">
      <c r="A101" s="152" t="s">
        <v>590</v>
      </c>
      <c r="B101" s="173" t="s">
        <v>854</v>
      </c>
      <c r="C101" s="152" t="str">
        <f>VLOOKUP(Tabela134[[#This Row],[Espécie]],Tabela2[[#All],[Espécie]:[Categoria de risco]],2,FALSE)</f>
        <v>Enxada, Paru, Paru branco</v>
      </c>
      <c r="D101" s="152" t="str">
        <f>VLOOKUP(Tabela134[[#This Row],[Espécie]],Tabela2[[#All],[Espécie]:[Categoria de risco]],3,FALSE)</f>
        <v>Peixes Marinhos (ósseos)</v>
      </c>
      <c r="E101" s="152" t="str">
        <f>VLOOKUP(Tabela134[[#This Row],[Espécie]],Tabela2[[#All],[Espécie]:[Categoria de risco]],4,FALSE)</f>
        <v>Menos preocupante</v>
      </c>
      <c r="G101" s="60" t="s">
        <v>770</v>
      </c>
      <c r="H101" s="152" t="str">
        <f>VLOOKUP(Tabela134[[#This Row],[UC]],Tabela6[[#All],[UC]:[UF]],2,FALSE)</f>
        <v>RS</v>
      </c>
      <c r="I101" s="230" t="s">
        <v>610</v>
      </c>
      <c r="J101" s="192">
        <f>IFERROR(VLOOKUP(Tabela134[[#This Row],[Espécie]],Tabela8[[#All],[Espécie]:[Nome fantasia]],4, FALSE), 0)</f>
        <v>0</v>
      </c>
      <c r="K101" s="165" t="s">
        <v>592</v>
      </c>
      <c r="L101" s="165" t="s">
        <v>592</v>
      </c>
    </row>
    <row r="102" spans="1:15" ht="19.5" customHeight="1">
      <c r="A102" s="152" t="s">
        <v>590</v>
      </c>
      <c r="B102" s="173" t="s">
        <v>787</v>
      </c>
      <c r="C102" s="152" t="str">
        <f>VLOOKUP(Tabela134[[#This Row],[Espécie]],Tabela2[[#All],[Espécie]:[Categoria de risco]],2,FALSE)</f>
        <v>batuíra-de-bando</v>
      </c>
      <c r="D102" s="152" t="str">
        <f>VLOOKUP(Tabela134[[#This Row],[Espécie]],Tabela2[[#All],[Espécie]:[Categoria de risco]],3,FALSE)</f>
        <v>Aves</v>
      </c>
      <c r="E102" s="152" t="str">
        <f>VLOOKUP(Tabela134[[#This Row],[Espécie]],Tabela2[[#All],[Espécie]:[Categoria de risco]],4,FALSE)</f>
        <v>Menos preocupante</v>
      </c>
      <c r="G102" s="60" t="s">
        <v>770</v>
      </c>
      <c r="H102" s="152" t="str">
        <f>VLOOKUP(Tabela134[[#This Row],[UC]],Tabela6[[#All],[UC]:[UF]],2,FALSE)</f>
        <v>RS</v>
      </c>
      <c r="I102" s="230" t="s">
        <v>592</v>
      </c>
      <c r="J102" s="192" t="str">
        <f>IFERROR(VLOOKUP(Tabela134[[#This Row],[Espécie]],Tabela8[[#All],[Espécie]:[Nome fantasia]],4, FALSE), 0)</f>
        <v>Aves Limícolas Migratórias - 2º ciclo</v>
      </c>
      <c r="K102" s="165" t="s">
        <v>592</v>
      </c>
      <c r="L102" s="165" t="s">
        <v>592</v>
      </c>
    </row>
    <row r="103" spans="1:15" ht="19.5" customHeight="1">
      <c r="A103" s="152" t="s">
        <v>590</v>
      </c>
      <c r="B103" s="171" t="s">
        <v>598</v>
      </c>
      <c r="C103" s="152" t="str">
        <f>VLOOKUP(Tabela134[[#This Row],[Espécie]],Tabela2[[#All],[Espécie]:[Categoria de risco]],2,FALSE)</f>
        <v>Aruanã, Depéia, Jereba, suçuarana, Tartaruga do mar, Tartaruga pedrÃªs, Tartaruga-verde</v>
      </c>
      <c r="D103" s="152" t="str">
        <f>VLOOKUP(Tabela134[[#This Row],[Espécie]],Tabela2[[#All],[Espécie]:[Categoria de risco]],3,FALSE)</f>
        <v>Répteis</v>
      </c>
      <c r="E103" s="152" t="str">
        <f>VLOOKUP(Tabela134[[#This Row],[Espécie]],Tabela2[[#All],[Espécie]:[Categoria de risco]],4,FALSE)</f>
        <v>Quase ameaçada</v>
      </c>
      <c r="G103" s="60" t="s">
        <v>91</v>
      </c>
      <c r="H103" s="152" t="str">
        <f>VLOOKUP(Tabela134[[#This Row],[UC]],Tabela6[[#All],[UC]:[UF]],2,FALSE)</f>
        <v>SC</v>
      </c>
      <c r="I103" s="230" t="s">
        <v>592</v>
      </c>
      <c r="J103" s="192" t="str">
        <f>IFERROR(VLOOKUP(Tabela134[[#This Row],[Espécie]],Tabela8[[#All],[Espécie]:[Nome fantasia]],4, FALSE), 0)</f>
        <v>Tartarugas Marinhas - 3º ciclo</v>
      </c>
      <c r="K103" s="165" t="s">
        <v>592</v>
      </c>
      <c r="L103" s="165" t="s">
        <v>592</v>
      </c>
      <c r="N103" s="170" t="s">
        <v>593</v>
      </c>
      <c r="O103" s="152" t="s">
        <v>594</v>
      </c>
    </row>
    <row r="104" spans="1:15" ht="19.5" customHeight="1">
      <c r="A104" s="152" t="s">
        <v>590</v>
      </c>
      <c r="B104" s="171" t="s">
        <v>598</v>
      </c>
      <c r="C104" s="152" t="str">
        <f>VLOOKUP(Tabela134[[#This Row],[Espécie]],Tabela2[[#All],[Espécie]:[Categoria de risco]],2,FALSE)</f>
        <v>Aruanã, Depéia, Jereba, suçuarana, Tartaruga do mar, Tartaruga pedrÃªs, Tartaruga-verde</v>
      </c>
      <c r="D104" s="152" t="str">
        <f>VLOOKUP(Tabela134[[#This Row],[Espécie]],Tabela2[[#All],[Espécie]:[Categoria de risco]],3,FALSE)</f>
        <v>Répteis</v>
      </c>
      <c r="E104" s="152" t="str">
        <f>VLOOKUP(Tabela134[[#This Row],[Espécie]],Tabela2[[#All],[Espécie]:[Categoria de risco]],4,FALSE)</f>
        <v>Quase ameaçada</v>
      </c>
      <c r="G104" s="60" t="s">
        <v>770</v>
      </c>
      <c r="H104" s="152" t="str">
        <f>VLOOKUP(Tabela134[[#This Row],[UC]],Tabela6[[#All],[UC]:[UF]],2,FALSE)</f>
        <v>RS</v>
      </c>
      <c r="I104" s="230" t="s">
        <v>592</v>
      </c>
      <c r="J104" s="192" t="str">
        <f>IFERROR(VLOOKUP(Tabela134[[#This Row],[Espécie]],Tabela8[[#All],[Espécie]:[Nome fantasia]],4, FALSE), 0)</f>
        <v>Tartarugas Marinhas - 3º ciclo</v>
      </c>
      <c r="K104" s="165" t="s">
        <v>592</v>
      </c>
      <c r="L104" s="165" t="s">
        <v>592</v>
      </c>
    </row>
    <row r="105" spans="1:15" ht="19.5" customHeight="1">
      <c r="A105" s="152" t="s">
        <v>590</v>
      </c>
      <c r="B105" s="173" t="s">
        <v>794</v>
      </c>
      <c r="C105" s="152" t="str">
        <f>VLOOKUP(Tabela134[[#This Row],[Espécie]],Tabela2[[#All],[Espécie]:[Categoria de risco]],2,FALSE)</f>
        <v>Gaivota-maria-velha</v>
      </c>
      <c r="D105" s="152" t="str">
        <f>VLOOKUP(Tabela134[[#This Row],[Espécie]],Tabela2[[#All],[Espécie]:[Categoria de risco]],3,FALSE)</f>
        <v>Aves</v>
      </c>
      <c r="E105" s="152" t="str">
        <f>VLOOKUP(Tabela134[[#This Row],[Espécie]],Tabela2[[#All],[Espécie]:[Categoria de risco]],4,FALSE)</f>
        <v>Menos preocupante</v>
      </c>
      <c r="G105" s="60" t="s">
        <v>770</v>
      </c>
      <c r="H105" s="152" t="str">
        <f>VLOOKUP(Tabela134[[#This Row],[UC]],Tabela6[[#All],[UC]:[UF]],2,FALSE)</f>
        <v>RS</v>
      </c>
      <c r="I105" s="230" t="s">
        <v>610</v>
      </c>
      <c r="J105" s="192">
        <f>IFERROR(VLOOKUP(Tabela134[[#This Row],[Espécie]],Tabela8[[#All],[Espécie]:[Nome fantasia]],4, FALSE), 0)</f>
        <v>0</v>
      </c>
      <c r="K105" s="165" t="s">
        <v>592</v>
      </c>
      <c r="L105" s="165" t="s">
        <v>592</v>
      </c>
    </row>
    <row r="106" spans="1:15" ht="19.5" customHeight="1">
      <c r="A106" s="152" t="s">
        <v>590</v>
      </c>
      <c r="B106" s="171" t="s">
        <v>671</v>
      </c>
      <c r="C106" s="152" t="str">
        <f>VLOOKUP(Tabela134[[#This Row],[Espécie]],Tabela2[[#All],[Espécie]:[Categoria de risco]],2,FALSE)</f>
        <v>Guará, Lobão, Lobo-de-juba, Lobo-guará, Lobo-vermelho</v>
      </c>
      <c r="D106" s="152" t="str">
        <f>VLOOKUP(Tabela134[[#This Row],[Espécie]],Tabela2[[#All],[Espécie]:[Categoria de risco]],3,FALSE)</f>
        <v>Mamíferos</v>
      </c>
      <c r="E106" s="152" t="str">
        <f>VLOOKUP(Tabela134[[#This Row],[Espécie]],Tabela2[[#All],[Espécie]:[Categoria de risco]],4,FALSE)</f>
        <v>Vulnerável</v>
      </c>
      <c r="G106" s="60" t="s">
        <v>670</v>
      </c>
      <c r="H106" s="152" t="str">
        <f>VLOOKUP(Tabela134[[#This Row],[UC]],Tabela6[[#All],[UC]:[UF]],2,FALSE)</f>
        <v>RS</v>
      </c>
      <c r="I106" s="230" t="s">
        <v>592</v>
      </c>
      <c r="J106" s="192" t="str">
        <f>IFERROR(VLOOKUP(Tabela134[[#This Row],[Espécie]],Tabela8[[#All],[Espécie]:[Nome fantasia]],4, FALSE), 0)</f>
        <v xml:space="preserve">Canídeos - 2º ciclo </v>
      </c>
      <c r="K106" s="165" t="s">
        <v>610</v>
      </c>
      <c r="L106" s="165" t="s">
        <v>610</v>
      </c>
    </row>
    <row r="107" spans="1:15" ht="19.5" customHeight="1">
      <c r="A107" s="152" t="s">
        <v>590</v>
      </c>
      <c r="B107" s="171" t="s">
        <v>671</v>
      </c>
      <c r="C107" s="152" t="str">
        <f>VLOOKUP(Tabela134[[#This Row],[Espécie]],Tabela2[[#All],[Espécie]:[Categoria de risco]],2,FALSE)</f>
        <v>Guará, Lobão, Lobo-de-juba, Lobo-guará, Lobo-vermelho</v>
      </c>
      <c r="D107" s="152" t="str">
        <f>VLOOKUP(Tabela134[[#This Row],[Espécie]],Tabela2[[#All],[Espécie]:[Categoria de risco]],3,FALSE)</f>
        <v>Mamíferos</v>
      </c>
      <c r="E107" s="152" t="str">
        <f>VLOOKUP(Tabela134[[#This Row],[Espécie]],Tabela2[[#All],[Espécie]:[Categoria de risco]],4,FALSE)</f>
        <v>Vulnerável</v>
      </c>
      <c r="G107" s="60" t="s">
        <v>137</v>
      </c>
      <c r="H107" s="152" t="str">
        <f>VLOOKUP(Tabela134[[#This Row],[UC]],Tabela6[[#All],[UC]:[UF]],2,FALSE)</f>
        <v>SC</v>
      </c>
      <c r="I107" s="230" t="s">
        <v>592</v>
      </c>
      <c r="J107" s="192" t="str">
        <f>IFERROR(VLOOKUP(Tabela134[[#This Row],[Espécie]],Tabela8[[#All],[Espécie]:[Nome fantasia]],4, FALSE), 0)</f>
        <v xml:space="preserve">Canídeos - 2º ciclo </v>
      </c>
      <c r="K107" s="165" t="s">
        <v>592</v>
      </c>
      <c r="L107" s="165" t="s">
        <v>592</v>
      </c>
    </row>
    <row r="108" spans="1:15" ht="19.5" customHeight="1">
      <c r="A108" s="152" t="s">
        <v>590</v>
      </c>
      <c r="B108" s="171" t="s">
        <v>671</v>
      </c>
      <c r="C108" s="152" t="str">
        <f>VLOOKUP(Tabela134[[#This Row],[Espécie]],Tabela2[[#All],[Espécie]:[Categoria de risco]],2,FALSE)</f>
        <v>Guará, Lobão, Lobo-de-juba, Lobo-guará, Lobo-vermelho</v>
      </c>
      <c r="D108" s="152" t="str">
        <f>VLOOKUP(Tabela134[[#This Row],[Espécie]],Tabela2[[#All],[Espécie]:[Categoria de risco]],3,FALSE)</f>
        <v>Mamíferos</v>
      </c>
      <c r="E108" s="152" t="str">
        <f>VLOOKUP(Tabela134[[#This Row],[Espécie]],Tabela2[[#All],[Espécie]:[Categoria de risco]],4,FALSE)</f>
        <v>Vulnerável</v>
      </c>
      <c r="G108" s="60" t="s">
        <v>697</v>
      </c>
      <c r="H108" s="152" t="str">
        <f>VLOOKUP(Tabela134[[#This Row],[UC]],Tabela6[[#All],[UC]:[UF]],2,FALSE)</f>
        <v>PR</v>
      </c>
      <c r="I108" s="230" t="s">
        <v>592</v>
      </c>
      <c r="J108" s="192" t="str">
        <f>IFERROR(VLOOKUP(Tabela134[[#This Row],[Espécie]],Tabela8[[#All],[Espécie]:[Nome fantasia]],4, FALSE), 0)</f>
        <v xml:space="preserve">Canídeos - 2º ciclo </v>
      </c>
      <c r="K108" s="165" t="s">
        <v>610</v>
      </c>
      <c r="L108" s="165" t="s">
        <v>592</v>
      </c>
    </row>
    <row r="109" spans="1:15" ht="19.5" customHeight="1">
      <c r="A109" s="152" t="s">
        <v>590</v>
      </c>
      <c r="B109" s="171" t="s">
        <v>671</v>
      </c>
      <c r="C109" s="152" t="str">
        <f>VLOOKUP(Tabela134[[#This Row],[Espécie]],Tabela2[[#All],[Espécie]:[Categoria de risco]],2,FALSE)</f>
        <v>Guará, Lobão, Lobo-de-juba, Lobo-guará, Lobo-vermelho</v>
      </c>
      <c r="D109" s="152" t="str">
        <f>VLOOKUP(Tabela134[[#This Row],[Espécie]],Tabela2[[#All],[Espécie]:[Categoria de risco]],3,FALSE)</f>
        <v>Mamíferos</v>
      </c>
      <c r="E109" s="152" t="str">
        <f>VLOOKUP(Tabela134[[#This Row],[Espécie]],Tabela2[[#All],[Espécie]:[Categoria de risco]],4,FALSE)</f>
        <v>Vulnerável</v>
      </c>
      <c r="G109" s="60" t="s">
        <v>711</v>
      </c>
      <c r="H109" s="152" t="str">
        <f>VLOOKUP(Tabela134[[#This Row],[UC]],Tabela6[[#All],[UC]:[UF]],2,FALSE)</f>
        <v>SC</v>
      </c>
      <c r="I109" s="230" t="s">
        <v>592</v>
      </c>
      <c r="J109" s="192" t="str">
        <f>IFERROR(VLOOKUP(Tabela134[[#This Row],[Espécie]],Tabela8[[#All],[Espécie]:[Nome fantasia]],4, FALSE), 0)</f>
        <v xml:space="preserve">Canídeos - 2º ciclo </v>
      </c>
      <c r="K109" s="165" t="s">
        <v>592</v>
      </c>
      <c r="L109" s="165" t="s">
        <v>592</v>
      </c>
    </row>
    <row r="110" spans="1:15" ht="19.5" customHeight="1">
      <c r="A110" s="152" t="s">
        <v>622</v>
      </c>
      <c r="B110" s="171" t="s">
        <v>671</v>
      </c>
      <c r="C110" s="152" t="str">
        <f>VLOOKUP(Tabela134[[#This Row],[Espécie]],Tabela2[[#All],[Espécie]:[Categoria de risco]],2,FALSE)</f>
        <v>Guará, Lobão, Lobo-de-juba, Lobo-guará, Lobo-vermelho</v>
      </c>
      <c r="D110" s="152" t="str">
        <f>VLOOKUP(Tabela134[[#This Row],[Espécie]],Tabela2[[#All],[Espécie]:[Categoria de risco]],3,FALSE)</f>
        <v>Mamíferos</v>
      </c>
      <c r="E110" s="152" t="str">
        <f>VLOOKUP(Tabela134[[#This Row],[Espécie]],Tabela2[[#All],[Espécie]:[Categoria de risco]],4,FALSE)</f>
        <v>Vulnerável</v>
      </c>
      <c r="G110" s="60" t="s">
        <v>722</v>
      </c>
      <c r="H110" s="152" t="str">
        <f>VLOOKUP(Tabela134[[#This Row],[UC]],Tabela6[[#All],[UC]:[UF]],2,FALSE)</f>
        <v>PR</v>
      </c>
      <c r="I110" s="230" t="s">
        <v>592</v>
      </c>
      <c r="J110" s="192" t="str">
        <f>IFERROR(VLOOKUP(Tabela134[[#This Row],[Espécie]],Tabela8[[#All],[Espécie]:[Nome fantasia]],4, FALSE), 0)</f>
        <v xml:space="preserve">Canídeos - 2º ciclo </v>
      </c>
      <c r="K110" s="165" t="s">
        <v>592</v>
      </c>
      <c r="L110" s="165" t="s">
        <v>592</v>
      </c>
    </row>
    <row r="111" spans="1:15" ht="19.5" customHeight="1">
      <c r="A111" s="152" t="s">
        <v>622</v>
      </c>
      <c r="B111" s="171" t="s">
        <v>671</v>
      </c>
      <c r="C111" s="152" t="str">
        <f>VLOOKUP(Tabela134[[#This Row],[Espécie]],Tabela2[[#All],[Espécie]:[Categoria de risco]],2,FALSE)</f>
        <v>Guará, Lobão, Lobo-de-juba, Lobo-guará, Lobo-vermelho</v>
      </c>
      <c r="D111" s="152" t="str">
        <f>VLOOKUP(Tabela134[[#This Row],[Espécie]],Tabela2[[#All],[Espécie]:[Categoria de risco]],3,FALSE)</f>
        <v>Mamíferos</v>
      </c>
      <c r="E111" s="152" t="str">
        <f>VLOOKUP(Tabela134[[#This Row],[Espécie]],Tabela2[[#All],[Espécie]:[Categoria de risco]],4,FALSE)</f>
        <v>Vulnerável</v>
      </c>
      <c r="G111" s="60" t="s">
        <v>857</v>
      </c>
      <c r="H111" s="152" t="str">
        <f>VLOOKUP(Tabela134[[#This Row],[UC]],Tabela6[[#All],[UC]:[UF]],2,FALSE)</f>
        <v>PR/SC</v>
      </c>
      <c r="I111" s="230" t="s">
        <v>592</v>
      </c>
      <c r="J111" s="192" t="str">
        <f>IFERROR(VLOOKUP(Tabela134[[#This Row],[Espécie]],Tabela8[[#All],[Espécie]:[Nome fantasia]],4, FALSE), 0)</f>
        <v xml:space="preserve">Canídeos - 2º ciclo </v>
      </c>
      <c r="K111" s="165" t="s">
        <v>592</v>
      </c>
      <c r="L111" s="165" t="s">
        <v>592</v>
      </c>
    </row>
    <row r="112" spans="1:15" ht="19.5" customHeight="1">
      <c r="A112" s="152" t="s">
        <v>622</v>
      </c>
      <c r="B112" s="171" t="s">
        <v>713</v>
      </c>
      <c r="C112" s="152" t="str">
        <f>VLOOKUP(Tabela134[[#This Row],[Espécie]],Tabela2[[#All],[Espécie]:[Categoria de risco]],2,FALSE)</f>
        <v>pedreiro</v>
      </c>
      <c r="D112" s="152" t="str">
        <f>VLOOKUP(Tabela134[[#This Row],[Espécie]],Tabela2[[#All],[Espécie]:[Categoria de risco]],3,FALSE)</f>
        <v>Aves</v>
      </c>
      <c r="E112" s="152" t="str">
        <f>VLOOKUP(Tabela134[[#This Row],[Espécie]],Tabela2[[#All],[Espécie]:[Categoria de risco]],4,FALSE)</f>
        <v>Quase ameaçada</v>
      </c>
      <c r="G112" s="60" t="s">
        <v>711</v>
      </c>
      <c r="H112" s="152" t="str">
        <f>VLOOKUP(Tabela134[[#This Row],[UC]],Tabela6[[#All],[UC]:[UF]],2,FALSE)</f>
        <v>SC</v>
      </c>
      <c r="I112" s="230" t="s">
        <v>592</v>
      </c>
      <c r="J112" s="192" t="str">
        <f>IFERROR(VLOOKUP(Tabela134[[#This Row],[Espécie]],Tabela8[[#All],[Espécie]:[Nome fantasia]],4, FALSE), 0)</f>
        <v>Aves dos Campos Sulinos - 3º ciclo</v>
      </c>
      <c r="K112" s="165" t="s">
        <v>592</v>
      </c>
      <c r="L112" s="165" t="s">
        <v>592</v>
      </c>
    </row>
    <row r="113" spans="1:12" ht="19.5" customHeight="1">
      <c r="A113" s="152" t="s">
        <v>590</v>
      </c>
      <c r="B113" s="171" t="s">
        <v>679</v>
      </c>
      <c r="C113" s="152" t="str">
        <f>VLOOKUP(Tabela134[[#This Row],[Espécie]],Tabela2[[#All],[Espécie]:[Categoria de risco]],2,FALSE)</f>
        <v>gavião-cinza</v>
      </c>
      <c r="D113" s="152" t="str">
        <f>VLOOKUP(Tabela134[[#This Row],[Espécie]],Tabela2[[#All],[Espécie]:[Categoria de risco]],3,FALSE)</f>
        <v>Aves</v>
      </c>
      <c r="E113" s="152" t="str">
        <f>VLOOKUP(Tabela134[[#This Row],[Espécie]],Tabela2[[#All],[Espécie]:[Categoria de risco]],4,FALSE)</f>
        <v>Vulnerável</v>
      </c>
      <c r="G113" s="60" t="s">
        <v>680</v>
      </c>
      <c r="H113" s="152" t="str">
        <f>VLOOKUP(Tabela134[[#This Row],[UC]],Tabela6[[#All],[UC]:[UF]],2,FALSE)</f>
        <v>RS</v>
      </c>
      <c r="I113" s="230" t="s">
        <v>592</v>
      </c>
      <c r="J113" s="192" t="str">
        <f>IFERROR(VLOOKUP(Tabela134[[#This Row],[Espécie]],Tabela8[[#All],[Espécie]:[Nome fantasia]],4, FALSE), 0)</f>
        <v>Aves dos Campos Sulinos - 3º ciclo</v>
      </c>
      <c r="K113" s="165" t="s">
        <v>610</v>
      </c>
      <c r="L113" s="165" t="s">
        <v>592</v>
      </c>
    </row>
    <row r="114" spans="1:12" ht="19.5" customHeight="1">
      <c r="A114" s="152" t="s">
        <v>590</v>
      </c>
      <c r="B114" s="171" t="s">
        <v>686</v>
      </c>
      <c r="C114" s="152" t="str">
        <f>VLOOKUP(Tabela134[[#This Row],[Espécie]],Tabela2[[#All],[Espécie]:[Categoria de risco]],2,FALSE)</f>
        <v>Chupa-dente</v>
      </c>
      <c r="D114" s="152" t="str">
        <f>VLOOKUP(Tabela134[[#This Row],[Espécie]],Tabela2[[#All],[Espécie]:[Categoria de risco]],3,FALSE)</f>
        <v>Aves</v>
      </c>
      <c r="E114" s="152" t="str">
        <f>VLOOKUP(Tabela134[[#This Row],[Espécie]],Tabela2[[#All],[Espécie]:[Categoria de risco]],4,FALSE)</f>
        <v>Menos preocupante</v>
      </c>
      <c r="F114" s="172" t="s">
        <v>674</v>
      </c>
      <c r="G114" s="60" t="s">
        <v>680</v>
      </c>
      <c r="H114" s="152" t="str">
        <f>VLOOKUP(Tabela134[[#This Row],[UC]],Tabela6[[#All],[UC]:[UF]],2,FALSE)</f>
        <v>RS</v>
      </c>
      <c r="I114" s="230" t="s">
        <v>592</v>
      </c>
      <c r="J114" s="192" t="str">
        <f>IFERROR(VLOOKUP(Tabela134[[#This Row],[Espécie]],Tabela8[[#All],[Espécie]:[Nome fantasia]],4, FALSE), 0)</f>
        <v>Aves da Mata Atlântica - 2º ciclo</v>
      </c>
      <c r="K114" s="165" t="s">
        <v>610</v>
      </c>
      <c r="L114" s="165" t="s">
        <v>592</v>
      </c>
    </row>
    <row r="115" spans="1:12" ht="19.5" customHeight="1">
      <c r="A115" s="152" t="s">
        <v>590</v>
      </c>
      <c r="B115" s="173" t="s">
        <v>813</v>
      </c>
      <c r="C115" s="152" t="str">
        <f>VLOOKUP(Tabela134[[#This Row],[Espécie]],Tabela2[[#All],[Espécie]:[Categoria de risco]],2,FALSE)</f>
        <v>urubu, urubu-de-cabeça-preta</v>
      </c>
      <c r="D115" s="152" t="str">
        <f>VLOOKUP(Tabela134[[#This Row],[Espécie]],Tabela2[[#All],[Espécie]:[Categoria de risco]],3,FALSE)</f>
        <v>Aves</v>
      </c>
      <c r="E115" s="152" t="str">
        <f>VLOOKUP(Tabela134[[#This Row],[Espécie]],Tabela2[[#All],[Espécie]:[Categoria de risco]],4,FALSE)</f>
        <v>Menos preocupante</v>
      </c>
      <c r="G115" s="60" t="s">
        <v>770</v>
      </c>
      <c r="H115" s="152" t="str">
        <f>VLOOKUP(Tabela134[[#This Row],[UC]],Tabela6[[#All],[UC]:[UF]],2,FALSE)</f>
        <v>RS</v>
      </c>
      <c r="I115" s="230" t="s">
        <v>610</v>
      </c>
      <c r="J115" s="192">
        <f>IFERROR(VLOOKUP(Tabela134[[#This Row],[Espécie]],Tabela8[[#All],[Espécie]:[Nome fantasia]],4, FALSE), 0)</f>
        <v>0</v>
      </c>
      <c r="K115" s="165" t="s">
        <v>592</v>
      </c>
      <c r="L115" s="165" t="s">
        <v>592</v>
      </c>
    </row>
    <row r="116" spans="1:12" ht="19.5" customHeight="1">
      <c r="A116" s="152" t="s">
        <v>622</v>
      </c>
      <c r="B116" s="171" t="s">
        <v>696</v>
      </c>
      <c r="C116" s="152" t="str">
        <f>VLOOKUP(Tabela134[[#This Row],[Espécie]],Tabela2[[#All],[Espécie]:[Categoria de risco]],2,FALSE)</f>
        <v>Esponja</v>
      </c>
      <c r="D116" s="152" t="str">
        <f>VLOOKUP(Tabela134[[#This Row],[Espécie]],Tabela2[[#All],[Espécie]:[Categoria de risco]],3,FALSE)</f>
        <v>Invertebrados Marinhos</v>
      </c>
      <c r="E116" s="152" t="str">
        <f>VLOOKUP(Tabela134[[#This Row],[Espécie]],Tabela2[[#All],[Espécie]:[Categoria de risco]],4,FALSE)</f>
        <v>Vulnerável</v>
      </c>
      <c r="G116" s="60" t="s">
        <v>692</v>
      </c>
      <c r="H116" s="152" t="str">
        <f>VLOOKUP(Tabela134[[#This Row],[UC]],Tabela6[[#All],[UC]:[UF]],2,FALSE)</f>
        <v>SC/RS</v>
      </c>
      <c r="I116" s="230" t="s">
        <v>610</v>
      </c>
      <c r="J116" s="192">
        <f>IFERROR(VLOOKUP(Tabela134[[#This Row],[Espécie]],Tabela8[[#All],[Espécie]:[Nome fantasia]],4, FALSE), 0)</f>
        <v>0</v>
      </c>
      <c r="K116" s="165" t="s">
        <v>592</v>
      </c>
      <c r="L116" s="165" t="s">
        <v>592</v>
      </c>
    </row>
    <row r="117" spans="1:12" ht="19.5" customHeight="1">
      <c r="A117" s="152" t="s">
        <v>590</v>
      </c>
      <c r="B117" s="171" t="s">
        <v>732</v>
      </c>
      <c r="C117" s="152" t="str">
        <f>VLOOKUP(Tabela134[[#This Row],[Espécie]],Tabela2[[#All],[Espécie]:[Categoria de risco]],2,FALSE)</f>
        <v>estrela-do-mar</v>
      </c>
      <c r="D117" s="152" t="str">
        <f>VLOOKUP(Tabela134[[#This Row],[Espécie]],Tabela2[[#All],[Espécie]:[Categoria de risco]],3,FALSE)</f>
        <v>Invertebrados Marinhos</v>
      </c>
      <c r="E117" s="152" t="str">
        <f>VLOOKUP(Tabela134[[#This Row],[Espécie]],Tabela2[[#All],[Espécie]:[Categoria de risco]],4,FALSE)</f>
        <v>Vulnerável</v>
      </c>
      <c r="F117" s="172" t="s">
        <v>636</v>
      </c>
      <c r="G117" s="60" t="s">
        <v>730</v>
      </c>
      <c r="H117" s="152" t="str">
        <f>VLOOKUP(Tabela134[[#This Row],[UC]],Tabela6[[#All],[UC]:[UF]],2,FALSE)</f>
        <v>SC</v>
      </c>
      <c r="I117" s="230" t="s">
        <v>610</v>
      </c>
      <c r="J117" s="192">
        <f>IFERROR(VLOOKUP(Tabela134[[#This Row],[Espécie]],Tabela8[[#All],[Espécie]:[Nome fantasia]],4, FALSE), 0)</f>
        <v>0</v>
      </c>
      <c r="K117" s="165" t="s">
        <v>592</v>
      </c>
      <c r="L117" s="165" t="s">
        <v>592</v>
      </c>
    </row>
    <row r="118" spans="1:12" ht="19.5" customHeight="1">
      <c r="A118" s="152" t="s">
        <v>590</v>
      </c>
      <c r="B118" s="171" t="s">
        <v>719</v>
      </c>
      <c r="C118" s="152" t="str">
        <f>VLOOKUP(Tabela134[[#This Row],[Espécie]],Tabela2[[#All],[Espécie]:[Categoria de risco]],2,FALSE)</f>
        <v>jaó-do-sul</v>
      </c>
      <c r="D118" s="152" t="str">
        <f>VLOOKUP(Tabela134[[#This Row],[Espécie]],Tabela2[[#All],[Espécie]:[Categoria de risco]],3,FALSE)</f>
        <v>Aves</v>
      </c>
      <c r="E118" s="152" t="str">
        <f>VLOOKUP(Tabela134[[#This Row],[Espécie]],Tabela2[[#All],[Espécie]:[Categoria de risco]],4,FALSE)</f>
        <v>Menos preocupante</v>
      </c>
      <c r="F118" s="152" t="s">
        <v>674</v>
      </c>
      <c r="G118" s="60" t="s">
        <v>718</v>
      </c>
      <c r="H118" s="152" t="str">
        <f>VLOOKUP(Tabela134[[#This Row],[UC]],Tabela6[[#All],[UC]:[UF]],2,FALSE)</f>
        <v>SP/PR</v>
      </c>
      <c r="I118" s="230" t="s">
        <v>610</v>
      </c>
      <c r="J118" s="192">
        <f>IFERROR(VLOOKUP(Tabela134[[#This Row],[Espécie]],Tabela8[[#All],[Espécie]:[Nome fantasia]],4, FALSE), 0)</f>
        <v>0</v>
      </c>
      <c r="K118" s="165" t="s">
        <v>592</v>
      </c>
      <c r="L118" s="165" t="s">
        <v>592</v>
      </c>
    </row>
    <row r="119" spans="1:12" ht="19.5" customHeight="1">
      <c r="A119" s="175" t="s">
        <v>2320</v>
      </c>
      <c r="B119" s="147" t="s">
        <v>1321</v>
      </c>
      <c r="C119" s="152" t="str">
        <f>VLOOKUP(Tabela134[[#This Row],[Espécie]],Tabela2[[#All],[Espécie]:[Categoria de risco]],2,FALSE)</f>
        <v>Tuco-tuco</v>
      </c>
      <c r="D119" s="179" t="str">
        <f>VLOOKUP(Tabela134[[#This Row],[Espécie]],Tabela2[[#All],[Espécie]:[Categoria de risco]],3,FALSE)</f>
        <v>Mamíferos</v>
      </c>
      <c r="E119" s="152" t="str">
        <f>VLOOKUP(Tabela134[[#This Row],[Espécie]],Tabela2[[#All],[Espécie]:[Categoria de risco]],4,FALSE)</f>
        <v>Vulnerável</v>
      </c>
      <c r="F119" s="175" t="s">
        <v>2313</v>
      </c>
      <c r="G119" s="175" t="s">
        <v>91</v>
      </c>
      <c r="H119" s="152" t="str">
        <f>VLOOKUP(Tabela134[[#This Row],[UC]],Tabela6[[#All],[UC]:[UF]],2,FALSE)</f>
        <v>SC</v>
      </c>
      <c r="I119" s="230" t="s">
        <v>592</v>
      </c>
      <c r="J119" s="192" t="str">
        <f>IFERROR(VLOOKUP(Tabela134[[#This Row],[Espécie]],Tabela8[[#All],[Espécie]:[Nome fantasia]],4, FALSE), 0)</f>
        <v>Pequenos Mamíferos de Áreas Abertas</v>
      </c>
      <c r="K119" s="165" t="s">
        <v>610</v>
      </c>
      <c r="L119" s="165" t="s">
        <v>610</v>
      </c>
    </row>
    <row r="120" spans="1:12" ht="19.5" customHeight="1">
      <c r="A120" s="175" t="s">
        <v>2320</v>
      </c>
      <c r="B120" s="147" t="s">
        <v>1321</v>
      </c>
      <c r="C120" s="152" t="str">
        <f>VLOOKUP(Tabela134[[#This Row],[Espécie]],Tabela2[[#All],[Espécie]:[Categoria de risco]],2,FALSE)</f>
        <v>Tuco-tuco</v>
      </c>
      <c r="D120" s="179" t="str">
        <f>VLOOKUP(Tabela134[[#This Row],[Espécie]],Tabela2[[#All],[Espécie]:[Categoria de risco]],3,FALSE)</f>
        <v>Mamíferos</v>
      </c>
      <c r="E120" s="152" t="str">
        <f>VLOOKUP(Tabela134[[#This Row],[Espécie]],Tabela2[[#All],[Espécie]:[Categoria de risco]],4,FALSE)</f>
        <v>Vulnerável</v>
      </c>
      <c r="F120" s="175" t="s">
        <v>2313</v>
      </c>
      <c r="G120" s="175" t="s">
        <v>680</v>
      </c>
      <c r="H120" s="152" t="str">
        <f>VLOOKUP(Tabela134[[#This Row],[UC]],Tabela6[[#All],[UC]:[UF]],2,FALSE)</f>
        <v>RS</v>
      </c>
      <c r="I120" s="230" t="s">
        <v>592</v>
      </c>
      <c r="J120" s="192" t="str">
        <f>IFERROR(VLOOKUP(Tabela134[[#This Row],[Espécie]],Tabela8[[#All],[Espécie]:[Nome fantasia]],4, FALSE), 0)</f>
        <v>Pequenos Mamíferos de Áreas Abertas</v>
      </c>
      <c r="K120" s="165" t="s">
        <v>610</v>
      </c>
      <c r="L120" s="165" t="s">
        <v>610</v>
      </c>
    </row>
    <row r="121" spans="1:12" ht="19.5" customHeight="1">
      <c r="A121" s="152" t="s">
        <v>622</v>
      </c>
      <c r="B121" s="171" t="s">
        <v>723</v>
      </c>
      <c r="C121" s="152" t="str">
        <f>VLOOKUP(Tabela134[[#This Row],[Espécie]],Tabela2[[#All],[Espécie]:[Categoria de risco]],2,FALSE)</f>
        <v>paca</v>
      </c>
      <c r="D121" s="152" t="str">
        <f>VLOOKUP(Tabela134[[#This Row],[Espécie]],Tabela2[[#All],[Espécie]:[Categoria de risco]],3,FALSE)</f>
        <v>Mamíferos</v>
      </c>
      <c r="E121" s="152" t="str">
        <f>VLOOKUP(Tabela134[[#This Row],[Espécie]],Tabela2[[#All],[Espécie]:[Categoria de risco]],4,FALSE)</f>
        <v>Menos preocupante</v>
      </c>
      <c r="F121" s="152" t="s">
        <v>721</v>
      </c>
      <c r="G121" s="60" t="s">
        <v>722</v>
      </c>
      <c r="H121" s="152" t="str">
        <f>VLOOKUP(Tabela134[[#This Row],[UC]],Tabela6[[#All],[UC]:[UF]],2,FALSE)</f>
        <v>PR</v>
      </c>
      <c r="I121" s="230" t="s">
        <v>610</v>
      </c>
      <c r="J121" s="192">
        <f>IFERROR(VLOOKUP(Tabela134[[#This Row],[Espécie]],Tabela8[[#All],[Espécie]:[Nome fantasia]],4, FALSE), 0)</f>
        <v>0</v>
      </c>
      <c r="K121" s="165" t="s">
        <v>592</v>
      </c>
      <c r="L121" s="165" t="s">
        <v>592</v>
      </c>
    </row>
    <row r="122" spans="1:12" ht="19.5" customHeight="1">
      <c r="A122" s="152" t="s">
        <v>622</v>
      </c>
      <c r="B122" s="171" t="s">
        <v>654</v>
      </c>
      <c r="C122" s="152" t="str">
        <f>VLOOKUP(Tabela134[[#This Row],[Espécie]],Tabela2[[#All],[Espécie]:[Categoria de risco]],2,FALSE)</f>
        <v>Gralha-azul</v>
      </c>
      <c r="D122" s="152" t="str">
        <f>VLOOKUP(Tabela134[[#This Row],[Espécie]],Tabela2[[#All],[Espécie]:[Categoria de risco]],3,FALSE)</f>
        <v>Aves</v>
      </c>
      <c r="E122" s="152" t="str">
        <f>VLOOKUP(Tabela134[[#This Row],[Espécie]],Tabela2[[#All],[Espécie]:[Categoria de risco]],4,FALSE)</f>
        <v>Menos preocupante</v>
      </c>
      <c r="G122" s="60" t="s">
        <v>655</v>
      </c>
      <c r="H122" s="152" t="str">
        <f>VLOOKUP(Tabela134[[#This Row],[UC]],Tabela6[[#All],[UC]:[UF]],2,FALSE)</f>
        <v>SC</v>
      </c>
      <c r="I122" s="230" t="s">
        <v>610</v>
      </c>
      <c r="J122" s="192">
        <f>IFERROR(VLOOKUP(Tabela134[[#This Row],[Espécie]],Tabela8[[#All],[Espécie]:[Nome fantasia]],4, FALSE), 0)</f>
        <v>0</v>
      </c>
      <c r="K122" s="165" t="s">
        <v>592</v>
      </c>
      <c r="L122" s="165" t="s">
        <v>592</v>
      </c>
    </row>
    <row r="123" spans="1:12" ht="19.5" customHeight="1">
      <c r="A123" s="175" t="s">
        <v>2320</v>
      </c>
      <c r="B123" s="147" t="s">
        <v>1551</v>
      </c>
      <c r="C123" s="152" t="str">
        <f>VLOOKUP(Tabela134[[#This Row],[Espécie]],Tabela2[[#All],[Espécie]:[Categoria de risco]],2,FALSE)</f>
        <v>Peixe anual</v>
      </c>
      <c r="D123" s="179" t="str">
        <f>VLOOKUP(Tabela134[[#This Row],[Espécie]],Tabela2[[#All],[Espécie]:[Categoria de risco]],3,FALSE)</f>
        <v>Peixes Continentais</v>
      </c>
      <c r="E123" s="152" t="str">
        <f>VLOOKUP(Tabela134[[#This Row],[Espécie]],Tabela2[[#All],[Espécie]:[Categoria de risco]],4,FALSE)</f>
        <v>Vulnerável</v>
      </c>
      <c r="F123" s="175" t="s">
        <v>2313</v>
      </c>
      <c r="G123" s="175" t="s">
        <v>91</v>
      </c>
      <c r="H123" s="152" t="str">
        <f>VLOOKUP(Tabela134[[#This Row],[UC]],Tabela6[[#All],[UC]:[UF]],2,FALSE)</f>
        <v>SC</v>
      </c>
      <c r="I123" s="230" t="s">
        <v>592</v>
      </c>
      <c r="J123" s="192" t="str">
        <f>IFERROR(VLOOKUP(Tabela134[[#This Row],[Espécie]],Tabela8[[#All],[Espécie]:[Nome fantasia]],4, FALSE), 0)</f>
        <v>Rivulideos - 2º ciclo</v>
      </c>
      <c r="K123" s="165" t="s">
        <v>610</v>
      </c>
      <c r="L123" s="165" t="s">
        <v>610</v>
      </c>
    </row>
    <row r="124" spans="1:12" ht="19.5" customHeight="1">
      <c r="A124" s="152" t="s">
        <v>590</v>
      </c>
      <c r="B124" s="173" t="s">
        <v>816</v>
      </c>
      <c r="C124" s="152" t="str">
        <f>VLOOKUP(Tabela134[[#This Row],[Espécie]],Tabela2[[#All],[Espécie]:[Categoria de risco]],2,FALSE)</f>
        <v>maria-mole, pescada-olhuda</v>
      </c>
      <c r="D124" s="152" t="str">
        <f>VLOOKUP(Tabela134[[#This Row],[Espécie]],Tabela2[[#All],[Espécie]:[Categoria de risco]],3,FALSE)</f>
        <v>Peixes Marinhos (ósseos)</v>
      </c>
      <c r="E124" s="152" t="str">
        <f>VLOOKUP(Tabela134[[#This Row],[Espécie]],Tabela2[[#All],[Espécie]:[Categoria de risco]],4,FALSE)</f>
        <v>Menos preocupante</v>
      </c>
      <c r="F124" s="152" t="s">
        <v>695</v>
      </c>
      <c r="G124" s="60" t="s">
        <v>770</v>
      </c>
      <c r="H124" s="152" t="str">
        <f>VLOOKUP(Tabela134[[#This Row],[UC]],Tabela6[[#All],[UC]:[UF]],2,FALSE)</f>
        <v>RS</v>
      </c>
      <c r="I124" s="230" t="s">
        <v>610</v>
      </c>
      <c r="J124" s="192">
        <f>IFERROR(VLOOKUP(Tabela134[[#This Row],[Espécie]],Tabela8[[#All],[Espécie]:[Nome fantasia]],4, FALSE), 0)</f>
        <v>0</v>
      </c>
      <c r="K124" s="165" t="s">
        <v>592</v>
      </c>
      <c r="L124" s="165" t="s">
        <v>592</v>
      </c>
    </row>
    <row r="125" spans="1:12" ht="19.5" customHeight="1">
      <c r="A125" s="152" t="s">
        <v>590</v>
      </c>
      <c r="B125" s="173" t="s">
        <v>817</v>
      </c>
      <c r="C125" s="152" t="str">
        <f>VLOOKUP(Tabela134[[#This Row],[Espécie]],Tabela2[[#All],[Espécie]:[Categoria de risco]],2,FALSE)</f>
        <v>boca-mole, boca-torta, goete, pescada-branca, pescada-chata</v>
      </c>
      <c r="D125" s="152" t="str">
        <f>VLOOKUP(Tabela134[[#This Row],[Espécie]],Tabela2[[#All],[Espécie]:[Categoria de risco]],3,FALSE)</f>
        <v>Peixes Marinhos (ósseos)</v>
      </c>
      <c r="E125" s="152" t="str">
        <f>VLOOKUP(Tabela134[[#This Row],[Espécie]],Tabela2[[#All],[Espécie]:[Categoria de risco]],4,FALSE)</f>
        <v>Menos preocupante</v>
      </c>
      <c r="F125" s="152" t="s">
        <v>695</v>
      </c>
      <c r="G125" s="60" t="s">
        <v>770</v>
      </c>
      <c r="H125" s="152" t="str">
        <f>VLOOKUP(Tabela134[[#This Row],[UC]],Tabela6[[#All],[UC]:[UF]],2,FALSE)</f>
        <v>RS</v>
      </c>
      <c r="I125" s="230" t="s">
        <v>610</v>
      </c>
      <c r="J125" s="192">
        <f>IFERROR(VLOOKUP(Tabela134[[#This Row],[Espécie]],Tabela8[[#All],[Espécie]:[Nome fantasia]],4, FALSE), 0)</f>
        <v>0</v>
      </c>
      <c r="K125" s="165" t="s">
        <v>592</v>
      </c>
      <c r="L125" s="165" t="s">
        <v>592</v>
      </c>
    </row>
    <row r="126" spans="1:12" ht="19.5" customHeight="1">
      <c r="A126" s="152" t="s">
        <v>590</v>
      </c>
      <c r="B126" s="171" t="s">
        <v>658</v>
      </c>
      <c r="C126" s="152" t="str">
        <f>VLOOKUP(Tabela134[[#This Row],[Espécie]],Tabela2[[#All],[Espécie]:[Categoria de risco]],2,FALSE)</f>
        <v>Azara's Agouti, Cutia</v>
      </c>
      <c r="D126" s="152" t="str">
        <f>VLOOKUP(Tabela134[[#This Row],[Espécie]],Tabela2[[#All],[Espécie]:[Categoria de risco]],3,FALSE)</f>
        <v>Mamíferos</v>
      </c>
      <c r="E126" s="152" t="str">
        <f>VLOOKUP(Tabela134[[#This Row],[Espécie]],Tabela2[[#All],[Espécie]:[Categoria de risco]],4,FALSE)</f>
        <v>Menos preocupante</v>
      </c>
      <c r="G126" s="60" t="s">
        <v>656</v>
      </c>
      <c r="H126" s="152" t="str">
        <f>VLOOKUP(Tabela134[[#This Row],[UC]],Tabela6[[#All],[UC]:[UF]],2,FALSE)</f>
        <v>RS</v>
      </c>
      <c r="I126" s="230" t="s">
        <v>610</v>
      </c>
      <c r="J126" s="192">
        <f>IFERROR(VLOOKUP(Tabela134[[#This Row],[Espécie]],Tabela8[[#All],[Espécie]:[Nome fantasia]],4, FALSE), 0)</f>
        <v>0</v>
      </c>
      <c r="K126" s="165" t="s">
        <v>610</v>
      </c>
      <c r="L126" s="165" t="s">
        <v>610</v>
      </c>
    </row>
    <row r="127" spans="1:12" ht="19.5" customHeight="1">
      <c r="A127" s="152" t="s">
        <v>590</v>
      </c>
      <c r="B127" s="171" t="s">
        <v>740</v>
      </c>
      <c r="C127" s="152" t="str">
        <f>VLOOKUP(Tabela134[[#This Row],[Espécie]],Tabela2[[#All],[Espécie]:[Categoria de risco]],2,FALSE)</f>
        <v>Tartaruga comum, Tartaruga-oliva, Tartaruga pequena, Xibirro</v>
      </c>
      <c r="D127" s="152" t="str">
        <f>VLOOKUP(Tabela134[[#This Row],[Espécie]],Tabela2[[#All],[Espécie]:[Categoria de risco]],3,FALSE)</f>
        <v>Répteis</v>
      </c>
      <c r="E127" s="152" t="str">
        <f>VLOOKUP(Tabela134[[#This Row],[Espécie]],Tabela2[[#All],[Espécie]:[Categoria de risco]],4,FALSE)</f>
        <v>Vulnerável</v>
      </c>
      <c r="G127" s="60" t="s">
        <v>730</v>
      </c>
      <c r="H127" s="152" t="str">
        <f>VLOOKUP(Tabela134[[#This Row],[UC]],Tabela6[[#All],[UC]:[UF]],2,FALSE)</f>
        <v>SC</v>
      </c>
      <c r="I127" s="230" t="s">
        <v>592</v>
      </c>
      <c r="J127" s="192" t="str">
        <f>IFERROR(VLOOKUP(Tabela134[[#This Row],[Espécie]],Tabela8[[#All],[Espécie]:[Nome fantasia]],4, FALSE), 0)</f>
        <v>Tartarugas Marinhas - 3º ciclo</v>
      </c>
      <c r="K127" s="165" t="s">
        <v>592</v>
      </c>
      <c r="L127" s="165" t="s">
        <v>592</v>
      </c>
    </row>
    <row r="128" spans="1:12" ht="19.5" customHeight="1">
      <c r="A128" s="152" t="s">
        <v>590</v>
      </c>
      <c r="B128" s="171" t="s">
        <v>767</v>
      </c>
      <c r="C128" s="152" t="str">
        <f>VLOOKUP(Tabela134[[#This Row],[Espécie]],Tabela2[[#All],[Espécie]:[Categoria de risco]],2,FALSE)</f>
        <v>albatroz-de-tristão</v>
      </c>
      <c r="D128" s="152" t="str">
        <f>VLOOKUP(Tabela134[[#This Row],[Espécie]],Tabela2[[#All],[Espécie]:[Categoria de risco]],3,FALSE)</f>
        <v>Aves</v>
      </c>
      <c r="E128" s="152" t="str">
        <f>VLOOKUP(Tabela134[[#This Row],[Espécie]],Tabela2[[#All],[Espécie]:[Categoria de risco]],4,FALSE)</f>
        <v>Criticamente em perigo</v>
      </c>
      <c r="F128" s="172" t="s">
        <v>708</v>
      </c>
      <c r="G128" s="60" t="s">
        <v>730</v>
      </c>
      <c r="H128" s="152" t="str">
        <f>VLOOKUP(Tabela134[[#This Row],[UC]],Tabela6[[#All],[UC]:[UF]],2,FALSE)</f>
        <v>SC</v>
      </c>
      <c r="I128" s="230" t="s">
        <v>592</v>
      </c>
      <c r="J128" s="192" t="str">
        <f>IFERROR(VLOOKUP(Tabela134[[#This Row],[Espécie]],Tabela8[[#All],[Espécie]:[Nome fantasia]],4, FALSE), 0)</f>
        <v>Albatrozes e Petréis - 4º ciclo</v>
      </c>
      <c r="K128" s="165" t="s">
        <v>592</v>
      </c>
      <c r="L128" s="165" t="s">
        <v>592</v>
      </c>
    </row>
    <row r="129" spans="1:12" ht="19.5" customHeight="1">
      <c r="A129" s="175" t="s">
        <v>2320</v>
      </c>
      <c r="B129" s="147" t="s">
        <v>1135</v>
      </c>
      <c r="C129" s="152" t="str">
        <f>VLOOKUP(Tabela134[[#This Row],[Espécie]],Tabela2[[#All],[Espécie]:[Categoria de risco]],2,FALSE)</f>
        <v>albatroz-real</v>
      </c>
      <c r="D129" s="179" t="str">
        <f>VLOOKUP(Tabela134[[#This Row],[Espécie]],Tabela2[[#All],[Espécie]:[Categoria de risco]],3,FALSE)</f>
        <v>Aves</v>
      </c>
      <c r="E129" s="152" t="str">
        <f>VLOOKUP(Tabela134[[#This Row],[Espécie]],Tabela2[[#All],[Espécie]:[Categoria de risco]],4,FALSE)</f>
        <v>Vulnerável</v>
      </c>
      <c r="F129" s="175" t="s">
        <v>2313</v>
      </c>
      <c r="G129" s="174" t="s">
        <v>2314</v>
      </c>
      <c r="H129" s="152" t="str">
        <f>VLOOKUP(Tabela134[[#This Row],[UC]],Tabela6[[#All],[UC]:[UF]],2,FALSE)</f>
        <v>RS</v>
      </c>
      <c r="I129" s="230" t="s">
        <v>592</v>
      </c>
      <c r="J129" s="192" t="str">
        <f>IFERROR(VLOOKUP(Tabela134[[#This Row],[Espécie]],Tabela8[[#All],[Espécie]:[Nome fantasia]],4, FALSE), 0)</f>
        <v>Albatrozes e Petréis - 4º ciclo</v>
      </c>
      <c r="K129" s="165" t="s">
        <v>610</v>
      </c>
      <c r="L129" s="165" t="s">
        <v>610</v>
      </c>
    </row>
    <row r="130" spans="1:12" ht="19.5" customHeight="1">
      <c r="A130" s="175" t="s">
        <v>2320</v>
      </c>
      <c r="B130" s="147" t="s">
        <v>1135</v>
      </c>
      <c r="C130" s="152" t="str">
        <f>VLOOKUP(Tabela134[[#This Row],[Espécie]],Tabela2[[#All],[Espécie]:[Categoria de risco]],2,FALSE)</f>
        <v>albatroz-real</v>
      </c>
      <c r="D130" s="179" t="str">
        <f>VLOOKUP(Tabela134[[#This Row],[Espécie]],Tabela2[[#All],[Espécie]:[Categoria de risco]],3,FALSE)</f>
        <v>Aves</v>
      </c>
      <c r="E130" s="152" t="str">
        <f>VLOOKUP(Tabela134[[#This Row],[Espécie]],Tabela2[[#All],[Espécie]:[Categoria de risco]],4,FALSE)</f>
        <v>Vulnerável</v>
      </c>
      <c r="F130" s="175" t="s">
        <v>2313</v>
      </c>
      <c r="G130" s="174" t="s">
        <v>730</v>
      </c>
      <c r="H130" s="152" t="str">
        <f>VLOOKUP(Tabela134[[#This Row],[UC]],Tabela6[[#All],[UC]:[UF]],2,FALSE)</f>
        <v>SC</v>
      </c>
      <c r="I130" s="230" t="s">
        <v>592</v>
      </c>
      <c r="J130" s="192" t="str">
        <f>IFERROR(VLOOKUP(Tabela134[[#This Row],[Espécie]],Tabela8[[#All],[Espécie]:[Nome fantasia]],4, FALSE), 0)</f>
        <v>Albatrozes e Petréis - 4º ciclo</v>
      </c>
      <c r="K130" s="165" t="s">
        <v>610</v>
      </c>
      <c r="L130" s="165" t="s">
        <v>610</v>
      </c>
    </row>
    <row r="131" spans="1:12" ht="19.5" customHeight="1">
      <c r="A131" s="152" t="s">
        <v>590</v>
      </c>
      <c r="B131" s="171" t="s">
        <v>768</v>
      </c>
      <c r="C131" s="152" t="str">
        <f>VLOOKUP(Tabela134[[#This Row],[Espécie]],Tabela2[[#All],[Espécie]:[Categoria de risco]],2,FALSE)</f>
        <v>albatroz-errante, albatroz-gigante</v>
      </c>
      <c r="D131" s="152" t="str">
        <f>VLOOKUP(Tabela134[[#This Row],[Espécie]],Tabela2[[#All],[Espécie]:[Categoria de risco]],3,FALSE)</f>
        <v>Aves</v>
      </c>
      <c r="E131" s="152" t="str">
        <f>VLOOKUP(Tabela134[[#This Row],[Espécie]],Tabela2[[#All],[Espécie]:[Categoria de risco]],4,FALSE)</f>
        <v>Criticamente em perigo</v>
      </c>
      <c r="F131" s="172" t="s">
        <v>708</v>
      </c>
      <c r="G131" s="60" t="s">
        <v>730</v>
      </c>
      <c r="H131" s="152" t="str">
        <f>VLOOKUP(Tabela134[[#This Row],[UC]],Tabela6[[#All],[UC]:[UF]],2,FALSE)</f>
        <v>SC</v>
      </c>
      <c r="I131" s="230" t="s">
        <v>592</v>
      </c>
      <c r="J131" s="192" t="str">
        <f>IFERROR(VLOOKUP(Tabela134[[#This Row],[Espécie]],Tabela8[[#All],[Espécie]:[Nome fantasia]],4, FALSE), 0)</f>
        <v>Albatrozes e Petréis - 4º ciclo</v>
      </c>
      <c r="K131" s="165" t="s">
        <v>592</v>
      </c>
      <c r="L131" s="165" t="s">
        <v>592</v>
      </c>
    </row>
    <row r="132" spans="1:12" ht="19.5" customHeight="1">
      <c r="A132" s="152" t="s">
        <v>590</v>
      </c>
      <c r="B132" s="173" t="s">
        <v>812</v>
      </c>
      <c r="C132" s="152" t="str">
        <f>VLOOKUP(Tabela134[[#This Row],[Espécie]],Tabela2[[#All],[Espécie]:[Categoria de risco]],2,FALSE)</f>
        <v>garça-branca-pequena</v>
      </c>
      <c r="D132" s="152" t="str">
        <f>VLOOKUP(Tabela134[[#This Row],[Espécie]],Tabela2[[#All],[Espécie]:[Categoria de risco]],3,FALSE)</f>
        <v>Aves</v>
      </c>
      <c r="E132" s="152" t="str">
        <f>VLOOKUP(Tabela134[[#This Row],[Espécie]],Tabela2[[#All],[Espécie]:[Categoria de risco]],4,FALSE)</f>
        <v>Menos preocupante</v>
      </c>
      <c r="G132" s="60" t="s">
        <v>770</v>
      </c>
      <c r="H132" s="152" t="str">
        <f>VLOOKUP(Tabela134[[#This Row],[UC]],Tabela6[[#All],[UC]:[UF]],2,FALSE)</f>
        <v>RS</v>
      </c>
      <c r="I132" s="230" t="s">
        <v>610</v>
      </c>
      <c r="J132" s="192">
        <f>IFERROR(VLOOKUP(Tabela134[[#This Row],[Espécie]],Tabela8[[#All],[Espécie]:[Nome fantasia]],4, FALSE), 0)</f>
        <v>0</v>
      </c>
      <c r="K132" s="165" t="s">
        <v>592</v>
      </c>
      <c r="L132" s="165" t="s">
        <v>592</v>
      </c>
    </row>
    <row r="133" spans="1:12" ht="19.5" customHeight="1">
      <c r="A133" s="152" t="s">
        <v>590</v>
      </c>
      <c r="B133" s="171" t="s">
        <v>619</v>
      </c>
      <c r="C133" s="152" t="str">
        <f>VLOOKUP(Tabela134[[#This Row],[Espécie]],Tabela2[[#All],[Espécie]:[Categoria de risco]],2,FALSE)</f>
        <v>peixe néon</v>
      </c>
      <c r="D133" s="152" t="str">
        <f>VLOOKUP(Tabela134[[#This Row],[Espécie]],Tabela2[[#All],[Espécie]:[Categoria de risco]],3,FALSE)</f>
        <v>Peixes Marinhos (ósseos)</v>
      </c>
      <c r="E133" s="152" t="str">
        <f>VLOOKUP(Tabela134[[#This Row],[Espécie]],Tabela2[[#All],[Espécie]:[Categoria de risco]],4,FALSE)</f>
        <v>Vulnerável</v>
      </c>
      <c r="G133" s="60" t="s">
        <v>613</v>
      </c>
      <c r="H133" s="152" t="str">
        <f>VLOOKUP(Tabela134[[#This Row],[UC]],Tabela6[[#All],[UC]:[UF]],2,FALSE)</f>
        <v>SP/PR</v>
      </c>
      <c r="I133" s="230" t="s">
        <v>610</v>
      </c>
      <c r="J133" s="192">
        <f>IFERROR(VLOOKUP(Tabela134[[#This Row],[Espécie]],Tabela8[[#All],[Espécie]:[Nome fantasia]],4, FALSE), 0)</f>
        <v>0</v>
      </c>
      <c r="K133" s="165" t="s">
        <v>592</v>
      </c>
      <c r="L133" s="165" t="s">
        <v>592</v>
      </c>
    </row>
    <row r="134" spans="1:12" ht="19.5" customHeight="1">
      <c r="A134" s="152" t="s">
        <v>590</v>
      </c>
      <c r="B134" s="173" t="s">
        <v>837</v>
      </c>
      <c r="C134" s="152" t="str">
        <f>VLOOKUP(Tabela134[[#This Row],[Espécie]],Tabela2[[#All],[Espécie]:[Categoria de risco]],2,FALSE)</f>
        <v>Anchoita</v>
      </c>
      <c r="D134" s="152" t="str">
        <f>VLOOKUP(Tabela134[[#This Row],[Espécie]],Tabela2[[#All],[Espécie]:[Categoria de risco]],3,FALSE)</f>
        <v>Peixes Marinhos (ósseos)</v>
      </c>
      <c r="E134" s="152" t="str">
        <f>VLOOKUP(Tabela134[[#This Row],[Espécie]],Tabela2[[#All],[Espécie]:[Categoria de risco]],4,FALSE)</f>
        <v>Menos preocupante</v>
      </c>
      <c r="G134" s="60" t="s">
        <v>770</v>
      </c>
      <c r="H134" s="152" t="str">
        <f>VLOOKUP(Tabela134[[#This Row],[UC]],Tabela6[[#All],[UC]:[UF]],2,FALSE)</f>
        <v>RS</v>
      </c>
      <c r="I134" s="230" t="s">
        <v>610</v>
      </c>
      <c r="J134" s="192">
        <f>IFERROR(VLOOKUP(Tabela134[[#This Row],[Espécie]],Tabela8[[#All],[Espécie]:[Nome fantasia]],4, FALSE), 0)</f>
        <v>0</v>
      </c>
      <c r="K134" s="165" t="s">
        <v>592</v>
      </c>
      <c r="L134" s="165" t="s">
        <v>592</v>
      </c>
    </row>
    <row r="135" spans="1:12" ht="19.5" customHeight="1">
      <c r="A135" s="152" t="s">
        <v>590</v>
      </c>
      <c r="B135" s="171" t="s">
        <v>653</v>
      </c>
      <c r="C135" s="152" t="str">
        <f>VLOOKUP(Tabela134[[#This Row],[Espécie]],Tabela2[[#All],[Espécie]:[Categoria de risco]],2,FALSE)</f>
        <v>badejão, bodete, canapu, garoupa, mero, merote</v>
      </c>
      <c r="D135" s="152" t="str">
        <f>VLOOKUP(Tabela134[[#This Row],[Espécie]],Tabela2[[#All],[Espécie]:[Categoria de risco]],3,FALSE)</f>
        <v>Peixes Marinhos (ósseos)</v>
      </c>
      <c r="E135" s="152" t="str">
        <f>VLOOKUP(Tabela134[[#This Row],[Espécie]],Tabela2[[#All],[Espécie]:[Categoria de risco]],4,FALSE)</f>
        <v>Criticamente em Perigo</v>
      </c>
      <c r="G135" s="60" t="s">
        <v>730</v>
      </c>
      <c r="H135" s="152" t="str">
        <f>VLOOKUP(Tabela134[[#This Row],[UC]],Tabela6[[#All],[UC]:[UF]],2,FALSE)</f>
        <v>SC</v>
      </c>
      <c r="I135" s="230" t="s">
        <v>610</v>
      </c>
      <c r="J135" s="192">
        <f>IFERROR(VLOOKUP(Tabela134[[#This Row],[Espécie]],Tabela8[[#All],[Espécie]:[Nome fantasia]],4, FALSE), 0)</f>
        <v>0</v>
      </c>
      <c r="K135" s="165" t="s">
        <v>592</v>
      </c>
      <c r="L135" s="165" t="s">
        <v>592</v>
      </c>
    </row>
    <row r="136" spans="1:12" ht="19.5" customHeight="1">
      <c r="A136" s="152" t="s">
        <v>622</v>
      </c>
      <c r="B136" s="171" t="s">
        <v>653</v>
      </c>
      <c r="C136" s="152" t="str">
        <f>VLOOKUP(Tabela134[[#This Row],[Espécie]],Tabela2[[#All],[Espécie]:[Categoria de risco]],2,FALSE)</f>
        <v>badejão, bodete, canapu, garoupa, mero, merote</v>
      </c>
      <c r="D136" s="152" t="str">
        <f>VLOOKUP(Tabela134[[#This Row],[Espécie]],Tabela2[[#All],[Espécie]:[Categoria de risco]],3,FALSE)</f>
        <v>Peixes Marinhos (ósseos)</v>
      </c>
      <c r="E136" s="152" t="str">
        <f>VLOOKUP(Tabela134[[#This Row],[Espécie]],Tabela2[[#All],[Espécie]:[Categoria de risco]],4,FALSE)</f>
        <v>Criticamente em Perigo</v>
      </c>
      <c r="G136" s="60" t="s">
        <v>651</v>
      </c>
      <c r="H136" s="152" t="str">
        <f>VLOOKUP(Tabela134[[#This Row],[UC]],Tabela6[[#All],[UC]:[UF]],2,FALSE)</f>
        <v>PR</v>
      </c>
      <c r="I136" s="230" t="s">
        <v>610</v>
      </c>
      <c r="J136" s="192">
        <f>IFERROR(VLOOKUP(Tabela134[[#This Row],[Espécie]],Tabela8[[#All],[Espécie]:[Nome fantasia]],4, FALSE), 0)</f>
        <v>0</v>
      </c>
      <c r="K136" s="165" t="s">
        <v>592</v>
      </c>
      <c r="L136" s="165" t="s">
        <v>592</v>
      </c>
    </row>
    <row r="137" spans="1:12" ht="19.5" customHeight="1">
      <c r="A137" s="152" t="s">
        <v>590</v>
      </c>
      <c r="B137" s="171" t="s">
        <v>742</v>
      </c>
      <c r="C137" s="152" t="str">
        <f>VLOOKUP(Tabela134[[#This Row],[Espécie]],Tabela2[[#All],[Espécie]:[Categoria de risco]],2,FALSE)</f>
        <v>Garoupa-verdadeira</v>
      </c>
      <c r="D137" s="152" t="str">
        <f>VLOOKUP(Tabela134[[#This Row],[Espécie]],Tabela2[[#All],[Espécie]:[Categoria de risco]],3,FALSE)</f>
        <v>Peixes Marinhos (ósseos)</v>
      </c>
      <c r="E137" s="152" t="str">
        <f>VLOOKUP(Tabela134[[#This Row],[Espécie]],Tabela2[[#All],[Espécie]:[Categoria de risco]],4,FALSE)</f>
        <v>Vulnerável</v>
      </c>
      <c r="G137" s="60" t="s">
        <v>730</v>
      </c>
      <c r="H137" s="152" t="str">
        <f>VLOOKUP(Tabela134[[#This Row],[UC]],Tabela6[[#All],[UC]:[UF]],2,FALSE)</f>
        <v>SC</v>
      </c>
      <c r="I137" s="230" t="s">
        <v>610</v>
      </c>
      <c r="J137" s="192">
        <f>IFERROR(VLOOKUP(Tabela134[[#This Row],[Espécie]],Tabela8[[#All],[Espécie]:[Nome fantasia]],4, FALSE), 0)</f>
        <v>0</v>
      </c>
      <c r="K137" s="165" t="s">
        <v>592</v>
      </c>
      <c r="L137" s="165" t="s">
        <v>592</v>
      </c>
    </row>
    <row r="138" spans="1:12" ht="19.5" customHeight="1">
      <c r="A138" s="152" t="s">
        <v>590</v>
      </c>
      <c r="B138" s="171" t="s">
        <v>742</v>
      </c>
      <c r="C138" s="152" t="str">
        <f>VLOOKUP(Tabela134[[#This Row],[Espécie]],Tabela2[[#All],[Espécie]:[Categoria de risco]],2,FALSE)</f>
        <v>Garoupa-verdadeira</v>
      </c>
      <c r="D138" s="152" t="str">
        <f>VLOOKUP(Tabela134[[#This Row],[Espécie]],Tabela2[[#All],[Espécie]:[Categoria de risco]],3,FALSE)</f>
        <v>Peixes Marinhos (ósseos)</v>
      </c>
      <c r="E138" s="152" t="str">
        <f>VLOOKUP(Tabela134[[#This Row],[Espécie]],Tabela2[[#All],[Espécie]:[Categoria de risco]],4,FALSE)</f>
        <v>Vulnerável</v>
      </c>
      <c r="G138" s="60" t="s">
        <v>770</v>
      </c>
      <c r="H138" s="152" t="str">
        <f>VLOOKUP(Tabela134[[#This Row],[UC]],Tabela6[[#All],[UC]:[UF]],2,FALSE)</f>
        <v>RS</v>
      </c>
      <c r="I138" s="230" t="s">
        <v>610</v>
      </c>
      <c r="J138" s="192">
        <f>IFERROR(VLOOKUP(Tabela134[[#This Row],[Espécie]],Tabela8[[#All],[Espécie]:[Nome fantasia]],4, FALSE), 0)</f>
        <v>0</v>
      </c>
      <c r="K138" s="165" t="s">
        <v>592</v>
      </c>
      <c r="L138" s="165" t="s">
        <v>592</v>
      </c>
    </row>
    <row r="139" spans="1:12" ht="19.5" customHeight="1">
      <c r="A139" s="152" t="s">
        <v>590</v>
      </c>
      <c r="B139" s="171" t="s">
        <v>743</v>
      </c>
      <c r="C139" s="152" t="str">
        <f>VLOOKUP(Tabela134[[#This Row],[Espécie]],Tabela2[[#All],[Espécie]:[Categoria de risco]],2,FALSE)</f>
        <v>Mero-americano</v>
      </c>
      <c r="D139" s="152" t="str">
        <f>VLOOKUP(Tabela134[[#This Row],[Espécie]],Tabela2[[#All],[Espécie]:[Categoria de risco]],3,FALSE)</f>
        <v>Peixes Marinhos (ósseos)</v>
      </c>
      <c r="E139" s="152" t="str">
        <f>VLOOKUP(Tabela134[[#This Row],[Espécie]],Tabela2[[#All],[Espécie]:[Categoria de risco]],4,FALSE)</f>
        <v>Vulnerável</v>
      </c>
      <c r="G139" s="60" t="s">
        <v>730</v>
      </c>
      <c r="H139" s="152" t="str">
        <f>VLOOKUP(Tabela134[[#This Row],[UC]],Tabela6[[#All],[UC]:[UF]],2,FALSE)</f>
        <v>SC</v>
      </c>
      <c r="I139" s="230" t="s">
        <v>610</v>
      </c>
      <c r="J139" s="192">
        <f>IFERROR(VLOOKUP(Tabela134[[#This Row],[Espécie]],Tabela8[[#All],[Espécie]:[Nome fantasia]],4, FALSE), 0)</f>
        <v>0</v>
      </c>
      <c r="K139" s="165" t="s">
        <v>592</v>
      </c>
      <c r="L139" s="165" t="s">
        <v>592</v>
      </c>
    </row>
    <row r="140" spans="1:12" ht="19.5" customHeight="1">
      <c r="A140" s="152" t="s">
        <v>590</v>
      </c>
      <c r="B140" s="171" t="s">
        <v>739</v>
      </c>
      <c r="C140" s="152" t="str">
        <f>VLOOKUP(Tabela134[[#This Row],[Espécie]],Tabela2[[#All],[Espécie]:[Categoria de risco]],2,FALSE)</f>
        <v>Tartaruga de escamas, Tartaruga Legítima</v>
      </c>
      <c r="D140" s="152" t="str">
        <f>VLOOKUP(Tabela134[[#This Row],[Espécie]],Tabela2[[#All],[Espécie]:[Categoria de risco]],3,FALSE)</f>
        <v>Répteis</v>
      </c>
      <c r="E140" s="152" t="str">
        <f>VLOOKUP(Tabela134[[#This Row],[Espécie]],Tabela2[[#All],[Espécie]:[Categoria de risco]],4,FALSE)</f>
        <v>Em Perigo</v>
      </c>
      <c r="G140" s="60" t="s">
        <v>730</v>
      </c>
      <c r="H140" s="152" t="str">
        <f>VLOOKUP(Tabela134[[#This Row],[UC]],Tabela6[[#All],[UC]:[UF]],2,FALSE)</f>
        <v>SC</v>
      </c>
      <c r="I140" s="230" t="s">
        <v>592</v>
      </c>
      <c r="J140" s="192" t="str">
        <f>IFERROR(VLOOKUP(Tabela134[[#This Row],[Espécie]],Tabela8[[#All],[Espécie]:[Nome fantasia]],4, FALSE), 0)</f>
        <v>Tartarugas Marinhas - 3º ciclo</v>
      </c>
      <c r="K140" s="165" t="s">
        <v>592</v>
      </c>
      <c r="L140" s="165" t="s">
        <v>592</v>
      </c>
    </row>
    <row r="141" spans="1:12" ht="19.5" customHeight="1">
      <c r="A141" s="152" t="s">
        <v>590</v>
      </c>
      <c r="B141" s="171" t="s">
        <v>739</v>
      </c>
      <c r="C141" s="152" t="str">
        <f>VLOOKUP(Tabela134[[#This Row],[Espécie]],Tabela2[[#All],[Espécie]:[Categoria de risco]],2,FALSE)</f>
        <v>Tartaruga de escamas, Tartaruga Legítima</v>
      </c>
      <c r="D141" s="152" t="str">
        <f>VLOOKUP(Tabela134[[#This Row],[Espécie]],Tabela2[[#All],[Espécie]:[Categoria de risco]],3,FALSE)</f>
        <v>Répteis</v>
      </c>
      <c r="E141" s="152" t="str">
        <f>VLOOKUP(Tabela134[[#This Row],[Espécie]],Tabela2[[#All],[Espécie]:[Categoria de risco]],4,FALSE)</f>
        <v>Em Perigo</v>
      </c>
      <c r="G141" s="60" t="s">
        <v>770</v>
      </c>
      <c r="H141" s="152" t="str">
        <f>VLOOKUP(Tabela134[[#This Row],[UC]],Tabela6[[#All],[UC]:[UF]],2,FALSE)</f>
        <v>RS</v>
      </c>
      <c r="I141" s="230" t="s">
        <v>592</v>
      </c>
      <c r="J141" s="192" t="str">
        <f>IFERROR(VLOOKUP(Tabela134[[#This Row],[Espécie]],Tabela8[[#All],[Espécie]:[Nome fantasia]],4, FALSE), 0)</f>
        <v>Tartarugas Marinhas - 3º ciclo</v>
      </c>
      <c r="K141" s="165" t="s">
        <v>592</v>
      </c>
      <c r="L141" s="165" t="s">
        <v>592</v>
      </c>
    </row>
    <row r="142" spans="1:12" ht="19.5" customHeight="1">
      <c r="A142" s="152" t="s">
        <v>590</v>
      </c>
      <c r="B142" s="171" t="s">
        <v>599</v>
      </c>
      <c r="C142" s="152" t="str">
        <f>VLOOKUP(Tabela134[[#This Row],[Espécie]],Tabela2[[#All],[Espécie]:[Categoria de risco]],2,FALSE)</f>
        <v>Baleia-franca, Baleia-franca-austral, Baleia-franca-do-sul</v>
      </c>
      <c r="D142" s="152" t="str">
        <f>VLOOKUP(Tabela134[[#This Row],[Espécie]],Tabela2[[#All],[Espécie]:[Categoria de risco]],3,FALSE)</f>
        <v>Mamíferos</v>
      </c>
      <c r="E142" s="152" t="str">
        <f>VLOOKUP(Tabela134[[#This Row],[Espécie]],Tabela2[[#All],[Espécie]:[Categoria de risco]],4,FALSE)</f>
        <v>Em Perigo</v>
      </c>
      <c r="G142" s="60" t="s">
        <v>91</v>
      </c>
      <c r="H142" s="152" t="str">
        <f>VLOOKUP(Tabela134[[#This Row],[UC]],Tabela6[[#All],[UC]:[UF]],2,FALSE)</f>
        <v>SC</v>
      </c>
      <c r="I142" s="230" t="s">
        <v>592</v>
      </c>
      <c r="J142" s="192" t="str">
        <f>IFERROR(VLOOKUP(Tabela134[[#This Row],[Espécie]],Tabela8[[#All],[Espécie]:[Nome fantasia]],4, FALSE), 0)</f>
        <v>Cetáceos Marinhos</v>
      </c>
      <c r="K142" s="165" t="s">
        <v>592</v>
      </c>
      <c r="L142" s="165" t="s">
        <v>592</v>
      </c>
    </row>
    <row r="143" spans="1:12" ht="19.5" customHeight="1">
      <c r="A143" s="152" t="s">
        <v>590</v>
      </c>
      <c r="B143" s="171" t="s">
        <v>599</v>
      </c>
      <c r="C143" s="152" t="str">
        <f>VLOOKUP(Tabela134[[#This Row],[Espécie]],Tabela2[[#All],[Espécie]:[Categoria de risco]],2,FALSE)</f>
        <v>Baleia-franca, Baleia-franca-austral, Baleia-franca-do-sul</v>
      </c>
      <c r="D143" s="152" t="str">
        <f>VLOOKUP(Tabela134[[#This Row],[Espécie]],Tabela2[[#All],[Espécie]:[Categoria de risco]],3,FALSE)</f>
        <v>Mamíferos</v>
      </c>
      <c r="E143" s="152" t="str">
        <f>VLOOKUP(Tabela134[[#This Row],[Espécie]],Tabela2[[#All],[Espécie]:[Categoria de risco]],4,FALSE)</f>
        <v>Em Perigo</v>
      </c>
      <c r="G143" s="60" t="s">
        <v>2322</v>
      </c>
      <c r="H143" s="152" t="str">
        <f>VLOOKUP(Tabela134[[#This Row],[UC]],Tabela6[[#All],[UC]:[UF]],2,FALSE)</f>
        <v>SC</v>
      </c>
      <c r="I143" s="230" t="s">
        <v>592</v>
      </c>
      <c r="J143" s="192" t="str">
        <f>IFERROR(VLOOKUP(Tabela134[[#This Row],[Espécie]],Tabela8[[#All],[Espécie]:[Nome fantasia]],4, FALSE), 0)</f>
        <v>Cetáceos Marinhos</v>
      </c>
      <c r="K143" s="165" t="s">
        <v>610</v>
      </c>
      <c r="L143" s="165" t="s">
        <v>592</v>
      </c>
    </row>
    <row r="144" spans="1:12" ht="19.5" customHeight="1">
      <c r="A144" s="152" t="s">
        <v>590</v>
      </c>
      <c r="B144" s="171" t="s">
        <v>599</v>
      </c>
      <c r="C144" s="152" t="str">
        <f>VLOOKUP(Tabela134[[#This Row],[Espécie]],Tabela2[[#All],[Espécie]:[Categoria de risco]],2,FALSE)</f>
        <v>Baleia-franca, Baleia-franca-austral, Baleia-franca-do-sul</v>
      </c>
      <c r="D144" s="152" t="str">
        <f>VLOOKUP(Tabela134[[#This Row],[Espécie]],Tabela2[[#All],[Espécie]:[Categoria de risco]],3,FALSE)</f>
        <v>Mamíferos</v>
      </c>
      <c r="E144" s="152" t="str">
        <f>VLOOKUP(Tabela134[[#This Row],[Espécie]],Tabela2[[#All],[Espécie]:[Categoria de risco]],4,FALSE)</f>
        <v>Em Perigo</v>
      </c>
      <c r="G144" s="60" t="s">
        <v>730</v>
      </c>
      <c r="H144" s="152" t="str">
        <f>VLOOKUP(Tabela134[[#This Row],[UC]],Tabela6[[#All],[UC]:[UF]],2,FALSE)</f>
        <v>SC</v>
      </c>
      <c r="I144" s="230" t="s">
        <v>592</v>
      </c>
      <c r="J144" s="192" t="str">
        <f>IFERROR(VLOOKUP(Tabela134[[#This Row],[Espécie]],Tabela8[[#All],[Espécie]:[Nome fantasia]],4, FALSE), 0)</f>
        <v>Cetáceos Marinhos</v>
      </c>
      <c r="K144" s="165" t="s">
        <v>592</v>
      </c>
      <c r="L144" s="165" t="s">
        <v>592</v>
      </c>
    </row>
    <row r="145" spans="1:12" ht="19.5" customHeight="1">
      <c r="A145" s="152" t="s">
        <v>590</v>
      </c>
      <c r="B145" s="171" t="s">
        <v>599</v>
      </c>
      <c r="C145" s="152" t="str">
        <f>VLOOKUP(Tabela134[[#This Row],[Espécie]],Tabela2[[#All],[Espécie]:[Categoria de risco]],2,FALSE)</f>
        <v>Baleia-franca, Baleia-franca-austral, Baleia-franca-do-sul</v>
      </c>
      <c r="D145" s="152" t="str">
        <f>VLOOKUP(Tabela134[[#This Row],[Espécie]],Tabela2[[#All],[Espécie]:[Categoria de risco]],3,FALSE)</f>
        <v>Mamíferos</v>
      </c>
      <c r="E145" s="152" t="str">
        <f>VLOOKUP(Tabela134[[#This Row],[Espécie]],Tabela2[[#All],[Espécie]:[Categoria de risco]],4,FALSE)</f>
        <v>Em Perigo</v>
      </c>
      <c r="G145" s="60" t="s">
        <v>770</v>
      </c>
      <c r="H145" s="152" t="str">
        <f>VLOOKUP(Tabela134[[#This Row],[UC]],Tabela6[[#All],[UC]:[UF]],2,FALSE)</f>
        <v>RS</v>
      </c>
      <c r="I145" s="230" t="s">
        <v>592</v>
      </c>
      <c r="J145" s="192" t="str">
        <f>IFERROR(VLOOKUP(Tabela134[[#This Row],[Espécie]],Tabela8[[#All],[Espécie]:[Nome fantasia]],4, FALSE), 0)</f>
        <v>Cetáceos Marinhos</v>
      </c>
      <c r="K145" s="165" t="s">
        <v>592</v>
      </c>
      <c r="L145" s="165" t="s">
        <v>592</v>
      </c>
    </row>
    <row r="146" spans="1:12" ht="19.5" customHeight="1">
      <c r="A146" s="152" t="s">
        <v>622</v>
      </c>
      <c r="B146" s="171" t="s">
        <v>652</v>
      </c>
      <c r="C146" s="152" t="str">
        <f>VLOOKUP(Tabela134[[#This Row],[Espécie]],Tabela2[[#All],[Espécie]:[Categoria de risco]],2,FALSE)</f>
        <v>Guará</v>
      </c>
      <c r="D146" s="152" t="str">
        <f>VLOOKUP(Tabela134[[#This Row],[Espécie]],Tabela2[[#All],[Espécie]:[Categoria de risco]],3,FALSE)</f>
        <v>Aves</v>
      </c>
      <c r="E146" s="152" t="str">
        <f>VLOOKUP(Tabela134[[#This Row],[Espécie]],Tabela2[[#All],[Espécie]:[Categoria de risco]],4,FALSE)</f>
        <v>Menos preocupante</v>
      </c>
      <c r="G146" s="60" t="s">
        <v>651</v>
      </c>
      <c r="H146" s="152" t="str">
        <f>VLOOKUP(Tabela134[[#This Row],[UC]],Tabela6[[#All],[UC]:[UF]],2,FALSE)</f>
        <v>PR</v>
      </c>
      <c r="I146" s="230" t="s">
        <v>610</v>
      </c>
      <c r="J146" s="192">
        <f>IFERROR(VLOOKUP(Tabela134[[#This Row],[Espécie]],Tabela8[[#All],[Espécie]:[Nome fantasia]],4, FALSE), 0)</f>
        <v>0</v>
      </c>
      <c r="K146" s="165" t="s">
        <v>592</v>
      </c>
      <c r="L146" s="165" t="s">
        <v>592</v>
      </c>
    </row>
    <row r="147" spans="1:12" ht="19.5" customHeight="1">
      <c r="A147" s="152" t="s">
        <v>590</v>
      </c>
      <c r="B147" s="171" t="s">
        <v>736</v>
      </c>
      <c r="C147" s="152" t="str">
        <f>VLOOKUP(Tabela134[[#This Row],[Espécie]],Tabela2[[#All],[Espécie]:[Categoria de risco]],2,FALSE)</f>
        <v>vieira</v>
      </c>
      <c r="D147" s="152" t="str">
        <f>VLOOKUP(Tabela134[[#This Row],[Espécie]],Tabela2[[#All],[Espécie]:[Categoria de risco]],3,FALSE)</f>
        <v>Invertebrados Marinhos</v>
      </c>
      <c r="E147" s="152" t="str">
        <f>VLOOKUP(Tabela134[[#This Row],[Espécie]],Tabela2[[#All],[Espécie]:[Categoria de risco]],4,FALSE)</f>
        <v>Em perigo</v>
      </c>
      <c r="F147" s="172" t="s">
        <v>636</v>
      </c>
      <c r="G147" s="60" t="s">
        <v>730</v>
      </c>
      <c r="H147" s="152" t="str">
        <f>VLOOKUP(Tabela134[[#This Row],[UC]],Tabela6[[#All],[UC]:[UF]],2,FALSE)</f>
        <v>SC</v>
      </c>
      <c r="I147" s="230" t="s">
        <v>610</v>
      </c>
      <c r="J147" s="192">
        <f>IFERROR(VLOOKUP(Tabela134[[#This Row],[Espécie]],Tabela8[[#All],[Espécie]:[Nome fantasia]],4, FALSE), 0)</f>
        <v>0</v>
      </c>
      <c r="K147" s="165" t="s">
        <v>592</v>
      </c>
      <c r="L147" s="165" t="s">
        <v>592</v>
      </c>
    </row>
    <row r="148" spans="1:12" ht="19.5" customHeight="1">
      <c r="A148" s="175" t="s">
        <v>2320</v>
      </c>
      <c r="B148" s="147" t="s">
        <v>1264</v>
      </c>
      <c r="C148" s="152" t="str">
        <f>VLOOKUP(Tabela134[[#This Row],[Espécie]],Tabela2[[#All],[Espécie]:[Categoria de risco]],2,FALSE)</f>
        <v>bicudinho-do-brejo</v>
      </c>
      <c r="D148" s="179" t="str">
        <f>VLOOKUP(Tabela134[[#This Row],[Espécie]],Tabela2[[#All],[Espécie]:[Categoria de risco]],3,FALSE)</f>
        <v>Aves</v>
      </c>
      <c r="E148" s="152" t="str">
        <f>VLOOKUP(Tabela134[[#This Row],[Espécie]],Tabela2[[#All],[Espécie]:[Categoria de risco]],4,FALSE)</f>
        <v>Vulnerável</v>
      </c>
      <c r="F148" s="175" t="s">
        <v>2313</v>
      </c>
      <c r="G148" s="175" t="s">
        <v>613</v>
      </c>
      <c r="H148" s="152" t="str">
        <f>VLOOKUP(Tabela134[[#This Row],[UC]],Tabela6[[#All],[UC]:[UF]],2,FALSE)</f>
        <v>SP/PR</v>
      </c>
      <c r="I148" s="230" t="s">
        <v>592</v>
      </c>
      <c r="J148" s="192" t="str">
        <f>IFERROR(VLOOKUP(Tabela134[[#This Row],[Espécie]],Tabela8[[#All],[Espécie]:[Nome fantasia]],4, FALSE), 0)</f>
        <v>Aves da Mata Atlântica - 2º ciclo</v>
      </c>
      <c r="K148" s="165" t="s">
        <v>610</v>
      </c>
      <c r="L148" s="165" t="s">
        <v>610</v>
      </c>
    </row>
    <row r="149" spans="1:12" ht="19.5" customHeight="1">
      <c r="A149" s="175" t="s">
        <v>2320</v>
      </c>
      <c r="B149" s="147" t="s">
        <v>1264</v>
      </c>
      <c r="C149" s="152" t="str">
        <f>VLOOKUP(Tabela134[[#This Row],[Espécie]],Tabela2[[#All],[Espécie]:[Categoria de risco]],2,FALSE)</f>
        <v>bicudinho-do-brejo</v>
      </c>
      <c r="D149" s="179" t="str">
        <f>VLOOKUP(Tabela134[[#This Row],[Espécie]],Tabela2[[#All],[Espécie]:[Categoria de risco]],3,FALSE)</f>
        <v>Aves</v>
      </c>
      <c r="E149" s="152" t="str">
        <f>VLOOKUP(Tabela134[[#This Row],[Espécie]],Tabela2[[#All],[Espécie]:[Categoria de risco]],4,FALSE)</f>
        <v>Vulnerável</v>
      </c>
      <c r="F149" s="175" t="s">
        <v>2313</v>
      </c>
      <c r="G149" s="175" t="s">
        <v>725</v>
      </c>
      <c r="H149" s="152" t="str">
        <f>VLOOKUP(Tabela134[[#This Row],[UC]],Tabela6[[#All],[UC]:[UF]],2,FALSE)</f>
        <v>PR</v>
      </c>
      <c r="I149" s="230" t="s">
        <v>592</v>
      </c>
      <c r="J149" s="192" t="str">
        <f>IFERROR(VLOOKUP(Tabela134[[#This Row],[Espécie]],Tabela8[[#All],[Espécie]:[Nome fantasia]],4, FALSE), 0)</f>
        <v>Aves da Mata Atlântica - 2º ciclo</v>
      </c>
      <c r="K149" s="165" t="s">
        <v>610</v>
      </c>
      <c r="L149" s="165" t="s">
        <v>610</v>
      </c>
    </row>
    <row r="150" spans="1:12" ht="19.5" customHeight="1">
      <c r="A150" s="175" t="s">
        <v>2320</v>
      </c>
      <c r="B150" s="147" t="s">
        <v>1264</v>
      </c>
      <c r="C150" s="152" t="str">
        <f>VLOOKUP(Tabela134[[#This Row],[Espécie]],Tabela2[[#All],[Espécie]:[Categoria de risco]],2,FALSE)</f>
        <v>bicudinho-do-brejo</v>
      </c>
      <c r="D150" s="179" t="str">
        <f>VLOOKUP(Tabela134[[#This Row],[Espécie]],Tabela2[[#All],[Espécie]:[Categoria de risco]],3,FALSE)</f>
        <v>Aves</v>
      </c>
      <c r="E150" s="152" t="str">
        <f>VLOOKUP(Tabela134[[#This Row],[Espécie]],Tabela2[[#All],[Espécie]:[Categoria de risco]],4,FALSE)</f>
        <v>Vulnerável</v>
      </c>
      <c r="F150" s="175" t="s">
        <v>2313</v>
      </c>
      <c r="G150" s="175" t="s">
        <v>709</v>
      </c>
      <c r="H150" s="152" t="str">
        <f>VLOOKUP(Tabela134[[#This Row],[UC]],Tabela6[[#All],[UC]:[UF]],2,FALSE)</f>
        <v>PR</v>
      </c>
      <c r="I150" s="230" t="s">
        <v>592</v>
      </c>
      <c r="J150" s="192" t="str">
        <f>IFERROR(VLOOKUP(Tabela134[[#This Row],[Espécie]],Tabela8[[#All],[Espécie]:[Nome fantasia]],4, FALSE), 0)</f>
        <v>Aves da Mata Atlântica - 2º ciclo</v>
      </c>
      <c r="K150" s="165" t="s">
        <v>610</v>
      </c>
      <c r="L150" s="165" t="s">
        <v>610</v>
      </c>
    </row>
    <row r="151" spans="1:12" ht="19.5" customHeight="1">
      <c r="A151" s="152" t="s">
        <v>590</v>
      </c>
      <c r="B151" s="173" t="s">
        <v>806</v>
      </c>
      <c r="C151" s="152" t="str">
        <f>VLOOKUP(Tabela134[[#This Row],[Espécie]],Tabela2[[#All],[Espécie]:[Categoria de risco]],2,FALSE)</f>
        <v>tesourão</v>
      </c>
      <c r="D151" s="152" t="str">
        <f>VLOOKUP(Tabela134[[#This Row],[Espécie]],Tabela2[[#All],[Espécie]:[Categoria de risco]],3,FALSE)</f>
        <v>Aves</v>
      </c>
      <c r="E151" s="152" t="str">
        <f>VLOOKUP(Tabela134[[#This Row],[Espécie]],Tabela2[[#All],[Espécie]:[Categoria de risco]],4,FALSE)</f>
        <v>Menos preocupante</v>
      </c>
      <c r="G151" s="60" t="s">
        <v>770</v>
      </c>
      <c r="H151" s="152" t="str">
        <f>VLOOKUP(Tabela134[[#This Row],[UC]],Tabela6[[#All],[UC]:[UF]],2,FALSE)</f>
        <v>RS</v>
      </c>
      <c r="I151" s="230" t="s">
        <v>610</v>
      </c>
      <c r="J151" s="192">
        <f>IFERROR(VLOOKUP(Tabela134[[#This Row],[Espécie]],Tabela8[[#All],[Espécie]:[Nome fantasia]],4, FALSE), 0)</f>
        <v>0</v>
      </c>
      <c r="K151" s="165" t="s">
        <v>592</v>
      </c>
      <c r="L151" s="165" t="s">
        <v>592</v>
      </c>
    </row>
    <row r="152" spans="1:12" ht="19.5" customHeight="1">
      <c r="A152" s="175" t="s">
        <v>2320</v>
      </c>
      <c r="B152" s="147" t="s">
        <v>1764</v>
      </c>
      <c r="C152" s="152" t="str">
        <f>VLOOKUP(Tabela134[[#This Row],[Espécie]],Tabela2[[#All],[Espécie]:[Categoria de risco]],2,FALSE)</f>
        <v>Cação-bico-doce</v>
      </c>
      <c r="D152" s="179" t="str">
        <f>VLOOKUP(Tabela134[[#This Row],[Espécie]],Tabela2[[#All],[Espécie]:[Categoria de risco]],3,FALSE)</f>
        <v>Tubarões e Raias</v>
      </c>
      <c r="E152" s="152" t="str">
        <f>VLOOKUP(Tabela134[[#This Row],[Espécie]],Tabela2[[#All],[Espécie]:[Categoria de risco]],4,FALSE)</f>
        <v>Criticamente em Perigo</v>
      </c>
      <c r="F152" s="175" t="s">
        <v>2313</v>
      </c>
      <c r="G152" s="174" t="s">
        <v>730</v>
      </c>
      <c r="H152" s="152" t="str">
        <f>VLOOKUP(Tabela134[[#This Row],[UC]],Tabela6[[#All],[UC]:[UF]],2,FALSE)</f>
        <v>SC</v>
      </c>
      <c r="I152" s="230" t="s">
        <v>592</v>
      </c>
      <c r="J152" s="192" t="str">
        <f>IFERROR(VLOOKUP(Tabela134[[#This Row],[Espécie]],Tabela8[[#All],[Espécie]:[Nome fantasia]],4, FALSE), 0)</f>
        <v xml:space="preserve">Tubarões - 2º ciclo </v>
      </c>
      <c r="K152" s="165" t="s">
        <v>610</v>
      </c>
      <c r="L152" s="165" t="s">
        <v>610</v>
      </c>
    </row>
    <row r="153" spans="1:12" ht="19.5" customHeight="1">
      <c r="A153" s="175" t="s">
        <v>2320</v>
      </c>
      <c r="B153" s="147" t="s">
        <v>1764</v>
      </c>
      <c r="C153" s="152" t="str">
        <f>VLOOKUP(Tabela134[[#This Row],[Espécie]],Tabela2[[#All],[Espécie]:[Categoria de risco]],2,FALSE)</f>
        <v>Cação-bico-doce</v>
      </c>
      <c r="D153" s="179" t="str">
        <f>VLOOKUP(Tabela134[[#This Row],[Espécie]],Tabela2[[#All],[Espécie]:[Categoria de risco]],3,FALSE)</f>
        <v>Tubarões e Raias</v>
      </c>
      <c r="E153" s="152" t="str">
        <f>VLOOKUP(Tabela134[[#This Row],[Espécie]],Tabela2[[#All],[Espécie]:[Categoria de risco]],4,FALSE)</f>
        <v>Criticamente em Perigo</v>
      </c>
      <c r="F153" s="175" t="s">
        <v>2313</v>
      </c>
      <c r="G153" s="174" t="s">
        <v>2319</v>
      </c>
      <c r="H153" s="152" t="str">
        <f>VLOOKUP(Tabela134[[#This Row],[UC]],Tabela6[[#All],[UC]:[UF]],2,FALSE)</f>
        <v>SC</v>
      </c>
      <c r="I153" s="230" t="s">
        <v>592</v>
      </c>
      <c r="J153" s="192" t="str">
        <f>IFERROR(VLOOKUP(Tabela134[[#This Row],[Espécie]],Tabela8[[#All],[Espécie]:[Nome fantasia]],4, FALSE), 0)</f>
        <v xml:space="preserve">Tubarões - 2º ciclo </v>
      </c>
      <c r="K153" s="165" t="s">
        <v>610</v>
      </c>
      <c r="L153" s="165" t="s">
        <v>610</v>
      </c>
    </row>
    <row r="154" spans="1:12" ht="19.5" customHeight="1">
      <c r="A154" s="152" t="s">
        <v>590</v>
      </c>
      <c r="B154" s="171" t="s">
        <v>649</v>
      </c>
      <c r="C154" s="152" t="str">
        <f>VLOOKUP(Tabela134[[#This Row],[Espécie]],Tabela2[[#All],[Espécie]:[Categoria de risco]],2,FALSE)</f>
        <v>Bagre-branco</v>
      </c>
      <c r="D154" s="152" t="str">
        <f>VLOOKUP(Tabela134[[#This Row],[Espécie]],Tabela2[[#All],[Espécie]:[Categoria de risco]],3,FALSE)</f>
        <v>Peixes Marinhos (ósseos)</v>
      </c>
      <c r="E154" s="152" t="str">
        <f>VLOOKUP(Tabela134[[#This Row],[Espécie]],Tabela2[[#All],[Espécie]:[Categoria de risco]],4,FALSE)</f>
        <v>Em Perigo</v>
      </c>
      <c r="G154" s="60" t="s">
        <v>643</v>
      </c>
      <c r="H154" s="152" t="str">
        <f>VLOOKUP(Tabela134[[#This Row],[UC]],Tabela6[[#All],[UC]:[UF]],2,FALSE)</f>
        <v>SC</v>
      </c>
      <c r="I154" s="230" t="s">
        <v>610</v>
      </c>
      <c r="J154" s="192">
        <f>IFERROR(VLOOKUP(Tabela134[[#This Row],[Espécie]],Tabela8[[#All],[Espécie]:[Nome fantasia]],4, FALSE), 0)</f>
        <v>0</v>
      </c>
      <c r="K154" s="165" t="s">
        <v>592</v>
      </c>
      <c r="L154" s="165" t="s">
        <v>592</v>
      </c>
    </row>
    <row r="155" spans="1:12" ht="19.5" customHeight="1">
      <c r="A155" s="152" t="s">
        <v>590</v>
      </c>
      <c r="B155" s="171" t="s">
        <v>649</v>
      </c>
      <c r="C155" s="152" t="str">
        <f>VLOOKUP(Tabela134[[#This Row],[Espécie]],Tabela2[[#All],[Espécie]:[Categoria de risco]],2,FALSE)</f>
        <v>Bagre-branco</v>
      </c>
      <c r="D155" s="152" t="str">
        <f>VLOOKUP(Tabela134[[#This Row],[Espécie]],Tabela2[[#All],[Espécie]:[Categoria de risco]],3,FALSE)</f>
        <v>Peixes Marinhos (ósseos)</v>
      </c>
      <c r="E155" s="152" t="str">
        <f>VLOOKUP(Tabela134[[#This Row],[Espécie]],Tabela2[[#All],[Espécie]:[Categoria de risco]],4,FALSE)</f>
        <v>Em Perigo</v>
      </c>
      <c r="G155" s="60" t="s">
        <v>770</v>
      </c>
      <c r="H155" s="152" t="str">
        <f>VLOOKUP(Tabela134[[#This Row],[UC]],Tabela6[[#All],[UC]:[UF]],2,FALSE)</f>
        <v>RS</v>
      </c>
      <c r="I155" s="230" t="s">
        <v>610</v>
      </c>
      <c r="J155" s="192">
        <f>IFERROR(VLOOKUP(Tabela134[[#This Row],[Espécie]],Tabela8[[#All],[Espécie]:[Nome fantasia]],4, FALSE), 0)</f>
        <v>0</v>
      </c>
      <c r="K155" s="165" t="s">
        <v>592</v>
      </c>
      <c r="L155" s="165" t="s">
        <v>592</v>
      </c>
    </row>
    <row r="156" spans="1:12" ht="19.5" customHeight="1">
      <c r="A156" s="152" t="s">
        <v>590</v>
      </c>
      <c r="B156" s="173" t="s">
        <v>845</v>
      </c>
      <c r="C156" s="152" t="str">
        <f>VLOOKUP(Tabela134[[#This Row],[Espécie]],Tabela2[[#All],[Espécie]:[Categoria de risco]],2,FALSE)</f>
        <v>Bagre</v>
      </c>
      <c r="D156" s="152" t="str">
        <f>VLOOKUP(Tabela134[[#This Row],[Espécie]],Tabela2[[#All],[Espécie]:[Categoria de risco]],3,FALSE)</f>
        <v>Peixes Marinhos (ósseos)</v>
      </c>
      <c r="E156" s="152" t="str">
        <f>VLOOKUP(Tabela134[[#This Row],[Espécie]],Tabela2[[#All],[Espécie]:[Categoria de risco]],4,FALSE)</f>
        <v>Dados insuficientes</v>
      </c>
      <c r="F156" s="152" t="s">
        <v>846</v>
      </c>
      <c r="G156" s="60" t="s">
        <v>770</v>
      </c>
      <c r="H156" s="152" t="str">
        <f>VLOOKUP(Tabela134[[#This Row],[UC]],Tabela6[[#All],[UC]:[UF]],2,FALSE)</f>
        <v>RS</v>
      </c>
      <c r="I156" s="230" t="s">
        <v>610</v>
      </c>
      <c r="J156" s="192">
        <f>IFERROR(VLOOKUP(Tabela134[[#This Row],[Espécie]],Tabela8[[#All],[Espécie]:[Nome fantasia]],4, FALSE), 0)</f>
        <v>0</v>
      </c>
      <c r="K156" s="165" t="s">
        <v>592</v>
      </c>
      <c r="L156" s="165" t="s">
        <v>592</v>
      </c>
    </row>
    <row r="157" spans="1:12" ht="19.5" customHeight="1">
      <c r="A157" s="175" t="s">
        <v>2320</v>
      </c>
      <c r="B157" s="147" t="s">
        <v>1695</v>
      </c>
      <c r="C157" s="152" t="str">
        <f>VLOOKUP(Tabela134[[#This Row],[Espécie]],Tabela2[[#All],[Espécie]:[Categoria de risco]],2,FALSE)</f>
        <v>cardeal-amarelo</v>
      </c>
      <c r="D157" s="179" t="str">
        <f>VLOOKUP(Tabela134[[#This Row],[Espécie]],Tabela2[[#All],[Espécie]:[Categoria de risco]],3,FALSE)</f>
        <v>Aves</v>
      </c>
      <c r="E157" s="152" t="str">
        <f>VLOOKUP(Tabela134[[#This Row],[Espécie]],Tabela2[[#All],[Espécie]:[Categoria de risco]],4,FALSE)</f>
        <v>Criticamente em Perigo</v>
      </c>
      <c r="F157" s="175" t="s">
        <v>2313</v>
      </c>
      <c r="G157" s="175" t="s">
        <v>626</v>
      </c>
      <c r="H157" s="152" t="str">
        <f>VLOOKUP(Tabela134[[#This Row],[UC]],Tabela6[[#All],[UC]:[UF]],2,FALSE)</f>
        <v>RS</v>
      </c>
      <c r="I157" s="230" t="s">
        <v>592</v>
      </c>
      <c r="J157" s="192" t="str">
        <f>IFERROR(VLOOKUP(Tabela134[[#This Row],[Espécie]],Tabela8[[#All],[Espécie]:[Nome fantasia]],4, FALSE), 0)</f>
        <v>Aves dos Campos Sulinos - 3º ciclo</v>
      </c>
      <c r="K157" s="165" t="s">
        <v>610</v>
      </c>
      <c r="L157" s="165" t="s">
        <v>610</v>
      </c>
    </row>
    <row r="158" spans="1:12" ht="19.5" customHeight="1">
      <c r="A158" s="152" t="s">
        <v>590</v>
      </c>
      <c r="B158" s="171" t="s">
        <v>753</v>
      </c>
      <c r="C158" s="152" t="str">
        <f>VLOOKUP(Tabela134[[#This Row],[Espécie]],Tabela2[[#All],[Espécie]:[Categoria de risco]],2,FALSE)</f>
        <v>raia-borboleta, raia-manteiga</v>
      </c>
      <c r="D158" s="152" t="str">
        <f>VLOOKUP(Tabela134[[#This Row],[Espécie]],Tabela2[[#All],[Espécie]:[Categoria de risco]],3,FALSE)</f>
        <v>Tubarões e Raias</v>
      </c>
      <c r="E158" s="152" t="str">
        <f>VLOOKUP(Tabela134[[#This Row],[Espécie]],Tabela2[[#All],[Espécie]:[Categoria de risco]],4,FALSE)</f>
        <v>Criticamente em Perigo</v>
      </c>
      <c r="G158" s="60" t="s">
        <v>730</v>
      </c>
      <c r="H158" s="152" t="str">
        <f>VLOOKUP(Tabela134[[#This Row],[UC]],Tabela6[[#All],[UC]:[UF]],2,FALSE)</f>
        <v>SC</v>
      </c>
      <c r="I158" s="230" t="s">
        <v>592</v>
      </c>
      <c r="J158" s="192" t="str">
        <f>IFERROR(VLOOKUP(Tabela134[[#This Row],[Espécie]],Tabela8[[#All],[Espécie]:[Nome fantasia]],4, FALSE), 0)</f>
        <v xml:space="preserve">Tubarões - 2º ciclo </v>
      </c>
      <c r="K158" s="165" t="s">
        <v>592</v>
      </c>
      <c r="L158" s="165" t="s">
        <v>592</v>
      </c>
    </row>
    <row r="159" spans="1:12" ht="19.5" customHeight="1">
      <c r="A159" s="152" t="s">
        <v>590</v>
      </c>
      <c r="B159" s="171" t="s">
        <v>753</v>
      </c>
      <c r="C159" s="152" t="str">
        <f>VLOOKUP(Tabela134[[#This Row],[Espécie]],Tabela2[[#All],[Espécie]:[Categoria de risco]],2,FALSE)</f>
        <v>raia-borboleta, raia-manteiga</v>
      </c>
      <c r="D159" s="152" t="str">
        <f>VLOOKUP(Tabela134[[#This Row],[Espécie]],Tabela2[[#All],[Espécie]:[Categoria de risco]],3,FALSE)</f>
        <v>Tubarões e Raias</v>
      </c>
      <c r="E159" s="152" t="str">
        <f>VLOOKUP(Tabela134[[#This Row],[Espécie]],Tabela2[[#All],[Espécie]:[Categoria de risco]],4,FALSE)</f>
        <v>Criticamente em Perigo</v>
      </c>
      <c r="G159" s="60" t="s">
        <v>770</v>
      </c>
      <c r="H159" s="152" t="str">
        <f>VLOOKUP(Tabela134[[#This Row],[UC]],Tabela6[[#All],[UC]:[UF]],2,FALSE)</f>
        <v>RS</v>
      </c>
      <c r="I159" s="230" t="s">
        <v>592</v>
      </c>
      <c r="J159" s="192" t="str">
        <f>IFERROR(VLOOKUP(Tabela134[[#This Row],[Espécie]],Tabela8[[#All],[Espécie]:[Nome fantasia]],4, FALSE), 0)</f>
        <v xml:space="preserve">Tubarões - 2º ciclo </v>
      </c>
      <c r="K159" s="165" t="s">
        <v>592</v>
      </c>
      <c r="L159" s="165" t="s">
        <v>592</v>
      </c>
    </row>
    <row r="160" spans="1:12" ht="19.5" customHeight="1">
      <c r="A160" s="152" t="s">
        <v>590</v>
      </c>
      <c r="B160" s="173" t="s">
        <v>788</v>
      </c>
      <c r="C160" s="152" t="str">
        <f>VLOOKUP(Tabela134[[#This Row],[Espécie]],Tabela2[[#All],[Espécie]:[Categoria de risco]],2,FALSE)</f>
        <v>Piru-piru</v>
      </c>
      <c r="D160" s="152" t="str">
        <f>VLOOKUP(Tabela134[[#This Row],[Espécie]],Tabela2[[#All],[Espécie]:[Categoria de risco]],3,FALSE)</f>
        <v>Aves</v>
      </c>
      <c r="E160" s="152" t="str">
        <f>VLOOKUP(Tabela134[[#This Row],[Espécie]],Tabela2[[#All],[Espécie]:[Categoria de risco]],4,FALSE)</f>
        <v>Menos preocupante</v>
      </c>
      <c r="G160" s="60" t="s">
        <v>770</v>
      </c>
      <c r="H160" s="152" t="str">
        <f>VLOOKUP(Tabela134[[#This Row],[UC]],Tabela6[[#All],[UC]:[UF]],2,FALSE)</f>
        <v>RS</v>
      </c>
      <c r="I160" s="230" t="s">
        <v>592</v>
      </c>
      <c r="J160" s="192" t="str">
        <f>IFERROR(VLOOKUP(Tabela134[[#This Row],[Espécie]],Tabela8[[#All],[Espécie]:[Nome fantasia]],4, FALSE), 0)</f>
        <v>Aves Limícolas Migratórias - 2º ciclo</v>
      </c>
      <c r="K160" s="165" t="s">
        <v>592</v>
      </c>
      <c r="L160" s="165" t="s">
        <v>592</v>
      </c>
    </row>
    <row r="161" spans="1:12" ht="19.5" customHeight="1">
      <c r="A161" s="152" t="s">
        <v>590</v>
      </c>
      <c r="B161" s="173" t="s">
        <v>833</v>
      </c>
      <c r="C161" s="152" t="str">
        <f>VLOOKUP(Tabela134[[#This Row],[Espécie]],Tabela2[[#All],[Espécie]:[Categoria de risco]],2,FALSE)</f>
        <v>Sardinha-cascuda</v>
      </c>
      <c r="D161" s="152" t="str">
        <f>VLOOKUP(Tabela134[[#This Row],[Espécie]],Tabela2[[#All],[Espécie]:[Categoria de risco]],3,FALSE)</f>
        <v>Peixes Marinhos (ósseos)</v>
      </c>
      <c r="E161" s="152" t="str">
        <f>VLOOKUP(Tabela134[[#This Row],[Espécie]],Tabela2[[#All],[Espécie]:[Categoria de risco]],4,FALSE)</f>
        <v>Menos preocupante</v>
      </c>
      <c r="F161" s="152" t="s">
        <v>834</v>
      </c>
      <c r="G161" s="60" t="s">
        <v>770</v>
      </c>
      <c r="H161" s="152" t="str">
        <f>VLOOKUP(Tabela134[[#This Row],[UC]],Tabela6[[#All],[UC]:[UF]],2,FALSE)</f>
        <v>RS</v>
      </c>
      <c r="I161" s="230" t="s">
        <v>610</v>
      </c>
      <c r="J161" s="192">
        <f>IFERROR(VLOOKUP(Tabela134[[#This Row],[Espécie]],Tabela8[[#All],[Espécie]:[Nome fantasia]],4, FALSE), 0)</f>
        <v>0</v>
      </c>
      <c r="K161" s="165" t="s">
        <v>592</v>
      </c>
      <c r="L161" s="165" t="s">
        <v>592</v>
      </c>
    </row>
    <row r="162" spans="1:12" ht="19.5" customHeight="1">
      <c r="A162" s="175" t="s">
        <v>2320</v>
      </c>
      <c r="B162" s="180" t="s">
        <v>1170</v>
      </c>
      <c r="C162" s="152" t="str">
        <f>VLOOKUP(Tabela134[[#This Row],[Espécie]],Tabela2[[#All],[Espécie]:[Categoria de risco]],2,FALSE)</f>
        <v>gavião-real, harpia</v>
      </c>
      <c r="D162" s="179" t="str">
        <f>VLOOKUP(Tabela134[[#This Row],[Espécie]],Tabela2[[#All],[Espécie]:[Categoria de risco]],3,FALSE)</f>
        <v>Aves</v>
      </c>
      <c r="E162" s="152" t="str">
        <f>VLOOKUP(Tabela134[[#This Row],[Espécie]],Tabela2[[#All],[Espécie]:[Categoria de risco]],4,FALSE)</f>
        <v>Vulnerável</v>
      </c>
      <c r="F162" s="175" t="s">
        <v>2326</v>
      </c>
      <c r="G162" s="174" t="s">
        <v>715</v>
      </c>
      <c r="H162" s="152" t="str">
        <f>VLOOKUP(Tabela134[[#This Row],[UC]],Tabela6[[#All],[UC]:[UF]],2,FALSE)</f>
        <v>PR</v>
      </c>
      <c r="I162" s="230" t="s">
        <v>592</v>
      </c>
      <c r="J162" s="192" t="str">
        <f>IFERROR(VLOOKUP(Tabela134[[#This Row],[Espécie]],Tabela8[[#All],[Espécie]:[Nome fantasia]],4, FALSE), 0)</f>
        <v>Aves da Mata Atlântica - 2º ciclo</v>
      </c>
      <c r="K162" s="165" t="s">
        <v>610</v>
      </c>
      <c r="L162" s="165" t="s">
        <v>610</v>
      </c>
    </row>
    <row r="163" spans="1:12" ht="19.5" customHeight="1">
      <c r="A163" s="175" t="s">
        <v>2320</v>
      </c>
      <c r="B163" s="180" t="s">
        <v>1170</v>
      </c>
      <c r="C163" s="152" t="str">
        <f>VLOOKUP(Tabela134[[#This Row],[Espécie]],Tabela2[[#All],[Espécie]:[Categoria de risco]],2,FALSE)</f>
        <v>gavião-real, harpia</v>
      </c>
      <c r="D163" s="179" t="str">
        <f>VLOOKUP(Tabela134[[#This Row],[Espécie]],Tabela2[[#All],[Espécie]:[Categoria de risco]],3,FALSE)</f>
        <v>Aves</v>
      </c>
      <c r="E163" s="152" t="str">
        <f>VLOOKUP(Tabela134[[#This Row],[Espécie]],Tabela2[[#All],[Espécie]:[Categoria de risco]],4,FALSE)</f>
        <v>Vulnerável</v>
      </c>
      <c r="F163" s="175" t="s">
        <v>2326</v>
      </c>
      <c r="G163" s="174" t="s">
        <v>718</v>
      </c>
      <c r="H163" s="152" t="str">
        <f>VLOOKUP(Tabela134[[#This Row],[UC]],Tabela6[[#All],[UC]:[UF]],2,FALSE)</f>
        <v>SP/PR</v>
      </c>
      <c r="I163" s="230" t="s">
        <v>592</v>
      </c>
      <c r="J163" s="192" t="str">
        <f>IFERROR(VLOOKUP(Tabela134[[#This Row],[Espécie]],Tabela8[[#All],[Espécie]:[Nome fantasia]],4, FALSE), 0)</f>
        <v>Aves da Mata Atlântica - 2º ciclo</v>
      </c>
      <c r="K163" s="165" t="s">
        <v>610</v>
      </c>
      <c r="L163" s="165" t="s">
        <v>610</v>
      </c>
    </row>
    <row r="164" spans="1:12" ht="19.5" customHeight="1">
      <c r="A164" s="175" t="s">
        <v>2320</v>
      </c>
      <c r="B164" s="147" t="s">
        <v>1266</v>
      </c>
      <c r="C164" s="152" t="str">
        <f>VLOOKUP(Tabela134[[#This Row],[Espécie]],Tabela2[[#All],[Espécie]:[Categoria de risco]],2,FALSE)</f>
        <v>maria-catarinense</v>
      </c>
      <c r="D164" s="179" t="str">
        <f>VLOOKUP(Tabela134[[#This Row],[Espécie]],Tabela2[[#All],[Espécie]:[Categoria de risco]],3,FALSE)</f>
        <v>Aves</v>
      </c>
      <c r="E164" s="152" t="str">
        <f>VLOOKUP(Tabela134[[#This Row],[Espécie]],Tabela2[[#All],[Espécie]:[Categoria de risco]],4,FALSE)</f>
        <v>Vulnerável</v>
      </c>
      <c r="F164" s="175" t="s">
        <v>2313</v>
      </c>
      <c r="G164" s="174" t="s">
        <v>725</v>
      </c>
      <c r="H164" s="152" t="str">
        <f>VLOOKUP(Tabela134[[#This Row],[UC]],Tabela6[[#All],[UC]:[UF]],2,FALSE)</f>
        <v>PR</v>
      </c>
      <c r="I164" s="230" t="s">
        <v>592</v>
      </c>
      <c r="J164" s="192" t="str">
        <f>IFERROR(VLOOKUP(Tabela134[[#This Row],[Espécie]],Tabela8[[#All],[Espécie]:[Nome fantasia]],4, FALSE), 0)</f>
        <v>Aves da Mata Atlântica - 2º ciclo</v>
      </c>
      <c r="K164" s="165" t="s">
        <v>610</v>
      </c>
      <c r="L164" s="165" t="s">
        <v>610</v>
      </c>
    </row>
    <row r="165" spans="1:12" ht="19.5" customHeight="1">
      <c r="A165" s="175" t="s">
        <v>2320</v>
      </c>
      <c r="B165" s="147" t="s">
        <v>1266</v>
      </c>
      <c r="C165" s="152" t="str">
        <f>VLOOKUP(Tabela134[[#This Row],[Espécie]],Tabela2[[#All],[Espécie]:[Categoria de risco]],2,FALSE)</f>
        <v>maria-catarinense</v>
      </c>
      <c r="D165" s="179" t="str">
        <f>VLOOKUP(Tabela134[[#This Row],[Espécie]],Tabela2[[#All],[Espécie]:[Categoria de risco]],3,FALSE)</f>
        <v>Aves</v>
      </c>
      <c r="E165" s="152" t="str">
        <f>VLOOKUP(Tabela134[[#This Row],[Espécie]],Tabela2[[#All],[Espécie]:[Categoria de risco]],4,FALSE)</f>
        <v>Vulnerável</v>
      </c>
      <c r="F165" s="175" t="s">
        <v>2313</v>
      </c>
      <c r="G165" s="174" t="s">
        <v>709</v>
      </c>
      <c r="H165" s="152" t="str">
        <f>VLOOKUP(Tabela134[[#This Row],[UC]],Tabela6[[#All],[UC]:[UF]],2,FALSE)</f>
        <v>PR</v>
      </c>
      <c r="I165" s="230" t="s">
        <v>592</v>
      </c>
      <c r="J165" s="192" t="str">
        <f>IFERROR(VLOOKUP(Tabela134[[#This Row],[Espécie]],Tabela8[[#All],[Espécie]:[Nome fantasia]],4, FALSE), 0)</f>
        <v>Aves da Mata Atlântica - 2º ciclo</v>
      </c>
      <c r="K165" s="165" t="s">
        <v>610</v>
      </c>
      <c r="L165" s="165" t="s">
        <v>610</v>
      </c>
    </row>
    <row r="166" spans="1:12" ht="19.5" customHeight="1">
      <c r="A166" s="152" t="s">
        <v>622</v>
      </c>
      <c r="B166" s="171" t="s">
        <v>630</v>
      </c>
      <c r="C166" s="152" t="str">
        <f>VLOOKUP(Tabela134[[#This Row],[Espécie]],Tabela2[[#All],[Espécie]:[Categoria de risco]],2,FALSE)</f>
        <v>Gato-azul, Gato-mourisco, Gato-vermelho, Jaguarundi</v>
      </c>
      <c r="D166" s="152" t="str">
        <f>VLOOKUP(Tabela134[[#This Row],[Espécie]],Tabela2[[#All],[Espécie]:[Categoria de risco]],3,FALSE)</f>
        <v>Mamíferos</v>
      </c>
      <c r="E166" s="152" t="str">
        <f>VLOOKUP(Tabela134[[#This Row],[Espécie]],Tabela2[[#All],[Espécie]:[Categoria de risco]],4,FALSE)</f>
        <v>Vulnerável</v>
      </c>
      <c r="G166" s="60" t="s">
        <v>629</v>
      </c>
      <c r="H166" s="152" t="str">
        <f>VLOOKUP(Tabela134[[#This Row],[UC]],Tabela6[[#All],[UC]:[UF]],2,FALSE)</f>
        <v>SC</v>
      </c>
      <c r="I166" s="230" t="s">
        <v>592</v>
      </c>
      <c r="J166" s="192" t="str">
        <f>IFERROR(VLOOKUP(Tabela134[[#This Row],[Espécie]],Tabela8[[#All],[Espécie]:[Nome fantasia]],4, FALSE), 0)</f>
        <v>Pequenos Felinos - 2º ciclo</v>
      </c>
      <c r="K166" s="165" t="s">
        <v>592</v>
      </c>
      <c r="L166" s="165" t="s">
        <v>592</v>
      </c>
    </row>
    <row r="167" spans="1:12" ht="19.5" customHeight="1">
      <c r="A167" s="152" t="s">
        <v>622</v>
      </c>
      <c r="B167" s="171" t="s">
        <v>630</v>
      </c>
      <c r="C167" s="152" t="str">
        <f>VLOOKUP(Tabela134[[#This Row],[Espécie]],Tabela2[[#All],[Espécie]:[Categoria de risco]],2,FALSE)</f>
        <v>Gato-azul, Gato-mourisco, Gato-vermelho, Jaguarundi</v>
      </c>
      <c r="D167" s="152" t="str">
        <f>VLOOKUP(Tabela134[[#This Row],[Espécie]],Tabela2[[#All],[Espécie]:[Categoria de risco]],3,FALSE)</f>
        <v>Mamíferos</v>
      </c>
      <c r="E167" s="152" t="str">
        <f>VLOOKUP(Tabela134[[#This Row],[Espécie]],Tabela2[[#All],[Espécie]:[Categoria de risco]],4,FALSE)</f>
        <v>Vulnerável</v>
      </c>
      <c r="G167" s="60" t="s">
        <v>665</v>
      </c>
      <c r="H167" s="152" t="str">
        <f>VLOOKUP(Tabela134[[#This Row],[UC]],Tabela6[[#All],[UC]:[UF]],2,FALSE)</f>
        <v>SC</v>
      </c>
      <c r="I167" s="230" t="s">
        <v>592</v>
      </c>
      <c r="J167" s="192" t="str">
        <f>IFERROR(VLOOKUP(Tabela134[[#This Row],[Espécie]],Tabela8[[#All],[Espécie]:[Nome fantasia]],4, FALSE), 0)</f>
        <v>Pequenos Felinos - 2º ciclo</v>
      </c>
      <c r="K167" s="165" t="s">
        <v>592</v>
      </c>
      <c r="L167" s="165" t="s">
        <v>592</v>
      </c>
    </row>
    <row r="168" spans="1:12" ht="19.5" customHeight="1">
      <c r="A168" s="152" t="s">
        <v>622</v>
      </c>
      <c r="B168" s="171" t="s">
        <v>714</v>
      </c>
      <c r="C168" s="152" t="str">
        <f>VLOOKUP(Tabela134[[#This Row],[Espécie]],Tabela2[[#All],[Espécie]:[Categoria de risco]],2,FALSE)</f>
        <v>noivinha-de-rabo-preto</v>
      </c>
      <c r="D168" s="152" t="str">
        <f>VLOOKUP(Tabela134[[#This Row],[Espécie]],Tabela2[[#All],[Espécie]:[Categoria de risco]],3,FALSE)</f>
        <v>Aves</v>
      </c>
      <c r="E168" s="152" t="str">
        <f>VLOOKUP(Tabela134[[#This Row],[Espécie]],Tabela2[[#All],[Espécie]:[Categoria de risco]],4,FALSE)</f>
        <v>Vulnerável</v>
      </c>
      <c r="G168" s="60" t="s">
        <v>711</v>
      </c>
      <c r="H168" s="152" t="str">
        <f>VLOOKUP(Tabela134[[#This Row],[UC]],Tabela6[[#All],[UC]:[UF]],2,FALSE)</f>
        <v>SC</v>
      </c>
      <c r="I168" s="230" t="s">
        <v>592</v>
      </c>
      <c r="J168" s="192" t="str">
        <f>IFERROR(VLOOKUP(Tabela134[[#This Row],[Espécie]],Tabela8[[#All],[Espécie]:[Nome fantasia]],4, FALSE), 0)</f>
        <v>Aves da Mata Atlântica - 2º ciclo</v>
      </c>
      <c r="K168" s="165" t="s">
        <v>592</v>
      </c>
      <c r="L168" s="165" t="s">
        <v>592</v>
      </c>
    </row>
    <row r="169" spans="1:12" ht="19.5" customHeight="1">
      <c r="A169" s="152" t="s">
        <v>590</v>
      </c>
      <c r="B169" s="171" t="s">
        <v>762</v>
      </c>
      <c r="C169" s="152" t="str">
        <f>VLOOKUP(Tabela134[[#This Row],[Espécie]],Tabela2[[#All],[Espécie]:[Categoria de risco]],2,FALSE)</f>
        <v>cavalinho, cavalinho-do-mar, cavalo-marinho, hipocampo</v>
      </c>
      <c r="D169" s="152" t="str">
        <f>VLOOKUP(Tabela134[[#This Row],[Espécie]],Tabela2[[#All],[Espécie]:[Categoria de risco]],3,FALSE)</f>
        <v>Peixes Marinhos (ósseos)</v>
      </c>
      <c r="E169" s="152" t="str">
        <f>VLOOKUP(Tabela134[[#This Row],[Espécie]],Tabela2[[#All],[Espécie]:[Categoria de risco]],4,FALSE)</f>
        <v>Vulnerável</v>
      </c>
      <c r="F169" s="172" t="s">
        <v>708</v>
      </c>
      <c r="G169" s="60" t="s">
        <v>730</v>
      </c>
      <c r="H169" s="152" t="str">
        <f>VLOOKUP(Tabela134[[#This Row],[UC]],Tabela6[[#All],[UC]:[UF]],2,FALSE)</f>
        <v>SC</v>
      </c>
      <c r="I169" s="230" t="s">
        <v>610</v>
      </c>
      <c r="J169" s="192">
        <f>IFERROR(VLOOKUP(Tabela134[[#This Row],[Espécie]],Tabela8[[#All],[Espécie]:[Nome fantasia]],4, FALSE), 0)</f>
        <v>0</v>
      </c>
      <c r="K169" s="165" t="s">
        <v>592</v>
      </c>
      <c r="L169" s="165" t="s">
        <v>592</v>
      </c>
    </row>
    <row r="170" spans="1:12" ht="19.5" customHeight="1">
      <c r="A170" s="152" t="s">
        <v>590</v>
      </c>
      <c r="B170" s="171" t="s">
        <v>763</v>
      </c>
      <c r="C170" s="152" t="str">
        <f>VLOOKUP(Tabela134[[#This Row],[Espécie]],Tabela2[[#All],[Espécie]:[Categoria de risco]],2,FALSE)</f>
        <v>Cavalo-marinho-de-focinho-longo</v>
      </c>
      <c r="D170" s="152" t="str">
        <f>VLOOKUP(Tabela134[[#This Row],[Espécie]],Tabela2[[#All],[Espécie]:[Categoria de risco]],3,FALSE)</f>
        <v>Peixes Marinhos (ósseos)</v>
      </c>
      <c r="E170" s="152" t="str">
        <f>VLOOKUP(Tabela134[[#This Row],[Espécie]],Tabela2[[#All],[Espécie]:[Categoria de risco]],4,FALSE)</f>
        <v>Vulnerável</v>
      </c>
      <c r="G170" s="60" t="s">
        <v>730</v>
      </c>
      <c r="H170" s="152" t="str">
        <f>VLOOKUP(Tabela134[[#This Row],[UC]],Tabela6[[#All],[UC]:[UF]],2,FALSE)</f>
        <v>SC</v>
      </c>
      <c r="I170" s="230" t="s">
        <v>610</v>
      </c>
      <c r="J170" s="192">
        <f>IFERROR(VLOOKUP(Tabela134[[#This Row],[Espécie]],Tabela8[[#All],[Espécie]:[Nome fantasia]],4, FALSE), 0)</f>
        <v>0</v>
      </c>
      <c r="K170" s="165" t="s">
        <v>592</v>
      </c>
      <c r="L170" s="165" t="s">
        <v>592</v>
      </c>
    </row>
    <row r="171" spans="1:12" ht="19.5" customHeight="1">
      <c r="A171" s="175" t="s">
        <v>2320</v>
      </c>
      <c r="B171" s="147" t="s">
        <v>1407</v>
      </c>
      <c r="C171" s="152" t="str">
        <f>VLOOKUP(Tabela134[[#This Row],[Espécie]],Tabela2[[#All],[Espécie]:[Categoria de risco]],2,FALSE)</f>
        <v>Lambari-listrado</v>
      </c>
      <c r="D171" s="179" t="str">
        <f>VLOOKUP(Tabela134[[#This Row],[Espécie]],Tabela2[[#All],[Espécie]:[Categoria de risco]],3,FALSE)</f>
        <v>Peixes Continentais</v>
      </c>
      <c r="E171" s="152" t="str">
        <f>VLOOKUP(Tabela134[[#This Row],[Espécie]],Tabela2[[#All],[Espécie]:[Categoria de risco]],4,FALSE)</f>
        <v>Em Perigo</v>
      </c>
      <c r="F171" s="175" t="s">
        <v>2313</v>
      </c>
      <c r="G171" s="175" t="s">
        <v>700</v>
      </c>
      <c r="H171" s="152" t="str">
        <f>VLOOKUP(Tabela134[[#This Row],[UC]],Tabela6[[#All],[UC]:[UF]],2,FALSE)</f>
        <v>SC/RS</v>
      </c>
      <c r="I171" s="230" t="s">
        <v>592</v>
      </c>
      <c r="J171" s="192" t="str">
        <f>IFERROR(VLOOKUP(Tabela134[[#This Row],[Espécie]],Tabela8[[#All],[Espécie]:[Nome fantasia]],4, FALSE), 0)</f>
        <v>Peixes e Eglas da Mata Atlântica</v>
      </c>
      <c r="K171" s="165" t="s">
        <v>610</v>
      </c>
      <c r="L171" s="165" t="s">
        <v>610</v>
      </c>
    </row>
    <row r="172" spans="1:12" ht="19.5" customHeight="1">
      <c r="A172" s="175" t="s">
        <v>2320</v>
      </c>
      <c r="B172" s="147" t="s">
        <v>1669</v>
      </c>
      <c r="C172" s="152" t="str">
        <f>VLOOKUP(Tabela134[[#This Row],[Espécie]],Tabela2[[#All],[Espécie]:[Categoria de risco]],2,FALSE)</f>
        <v>Camarãozinho, Geco-do-campo, Geco-dos-campos, Geco-uruguaio</v>
      </c>
      <c r="D172" s="179" t="str">
        <f>VLOOKUP(Tabela134[[#This Row],[Espécie]],Tabela2[[#All],[Espécie]:[Categoria de risco]],3,FALSE)</f>
        <v>Répteis</v>
      </c>
      <c r="E172" s="152" t="str">
        <f>VLOOKUP(Tabela134[[#This Row],[Espécie]],Tabela2[[#All],[Espécie]:[Categoria de risco]],4,FALSE)</f>
        <v>Vulnerável</v>
      </c>
      <c r="F172" s="175" t="s">
        <v>2313</v>
      </c>
      <c r="G172" s="174" t="s">
        <v>626</v>
      </c>
      <c r="H172" s="152" t="str">
        <f>VLOOKUP(Tabela134[[#This Row],[UC]],Tabela6[[#All],[UC]:[UF]],2,FALSE)</f>
        <v>RS</v>
      </c>
      <c r="I172" s="230" t="s">
        <v>592</v>
      </c>
      <c r="J172" s="192" t="str">
        <f>IFERROR(VLOOKUP(Tabela134[[#This Row],[Espécie]],Tabela8[[#All],[Espécie]:[Nome fantasia]],4, FALSE), 0)</f>
        <v>Herpetofauna do Sul - 2º ciclo</v>
      </c>
      <c r="K172" s="165" t="s">
        <v>610</v>
      </c>
      <c r="L172" s="165" t="s">
        <v>610</v>
      </c>
    </row>
    <row r="173" spans="1:12" ht="19.5" customHeight="1">
      <c r="A173" s="152" t="s">
        <v>590</v>
      </c>
      <c r="B173" s="173" t="s">
        <v>783</v>
      </c>
      <c r="C173" s="152" t="str">
        <f>VLOOKUP(Tabela134[[#This Row],[Espécie]],Tabela2[[#All],[Espécie]:[Categoria de risco]],2,FALSE)</f>
        <v>Foca-leopardo</v>
      </c>
      <c r="D173" s="152" t="str">
        <f>VLOOKUP(Tabela134[[#This Row],[Espécie]],Tabela2[[#All],[Espécie]:[Categoria de risco]],3,FALSE)</f>
        <v>Mamíferos</v>
      </c>
      <c r="E173" s="152" t="str">
        <f>VLOOKUP(Tabela134[[#This Row],[Espécie]],Tabela2[[#All],[Espécie]:[Categoria de risco]],4,FALSE)</f>
        <v>Não aplicável</v>
      </c>
      <c r="G173" s="60" t="s">
        <v>770</v>
      </c>
      <c r="H173" s="152" t="str">
        <f>VLOOKUP(Tabela134[[#This Row],[UC]],Tabela6[[#All],[UC]:[UF]],2,FALSE)</f>
        <v>RS</v>
      </c>
      <c r="I173" s="230" t="s">
        <v>610</v>
      </c>
      <c r="J173" s="192">
        <f>IFERROR(VLOOKUP(Tabela134[[#This Row],[Espécie]],Tabela8[[#All],[Espécie]:[Nome fantasia]],4, FALSE), 0)</f>
        <v>0</v>
      </c>
      <c r="K173" s="165" t="s">
        <v>592</v>
      </c>
      <c r="L173" s="165" t="s">
        <v>592</v>
      </c>
    </row>
    <row r="174" spans="1:12" ht="19.5" customHeight="1">
      <c r="A174" s="152" t="s">
        <v>590</v>
      </c>
      <c r="B174" s="171" t="s">
        <v>752</v>
      </c>
      <c r="C174" s="152" t="str">
        <f>VLOOKUP(Tabela134[[#This Row],[Espécie]],Tabela2[[#All],[Espécie]:[Categoria de risco]],2,FALSE)</f>
        <v>raia-manteiga, raia-prego</v>
      </c>
      <c r="D174" s="152" t="str">
        <f>VLOOKUP(Tabela134[[#This Row],[Espécie]],Tabela2[[#All],[Espécie]:[Categoria de risco]],3,FALSE)</f>
        <v>Tubarões e Raias</v>
      </c>
      <c r="E174" s="152" t="str">
        <f>VLOOKUP(Tabela134[[#This Row],[Espécie]],Tabela2[[#All],[Espécie]:[Categoria de risco]],4,FALSE)</f>
        <v>Vulnerável</v>
      </c>
      <c r="G174" s="60" t="s">
        <v>730</v>
      </c>
      <c r="H174" s="152" t="str">
        <f>VLOOKUP(Tabela134[[#This Row],[UC]],Tabela6[[#All],[UC]:[UF]],2,FALSE)</f>
        <v>SC</v>
      </c>
      <c r="I174" s="230" t="s">
        <v>610</v>
      </c>
      <c r="J174" s="192">
        <f>IFERROR(VLOOKUP(Tabela134[[#This Row],[Espécie]],Tabela8[[#All],[Espécie]:[Nome fantasia]],4, FALSE), 0)</f>
        <v>0</v>
      </c>
      <c r="K174" s="165" t="s">
        <v>592</v>
      </c>
      <c r="L174" s="165" t="s">
        <v>592</v>
      </c>
    </row>
    <row r="175" spans="1:12" ht="19.5" customHeight="1">
      <c r="A175" s="175" t="s">
        <v>2320</v>
      </c>
      <c r="B175" s="147" t="s">
        <v>1775</v>
      </c>
      <c r="C175" s="152" t="str">
        <f>VLOOKUP(Tabela134[[#This Row],[Espécie]],Tabela2[[#All],[Espécie]:[Categoria de risco]],2,FALSE)</f>
        <v>cherne-negro, cherne-queimado, cherne-verdadeiro, mero-negro</v>
      </c>
      <c r="D175" s="179" t="str">
        <f>VLOOKUP(Tabela134[[#This Row],[Espécie]],Tabela2[[#All],[Espécie]:[Categoria de risco]],3,FALSE)</f>
        <v>Peixes Marinhos (ósseos)</v>
      </c>
      <c r="E175" s="152" t="str">
        <f>VLOOKUP(Tabela134[[#This Row],[Espécie]],Tabela2[[#All],[Espécie]:[Categoria de risco]],4,FALSE)</f>
        <v>Em Perigo</v>
      </c>
      <c r="F175" s="175" t="s">
        <v>2313</v>
      </c>
      <c r="G175" s="174" t="s">
        <v>2317</v>
      </c>
      <c r="H175" s="152" t="str">
        <f>VLOOKUP(Tabela134[[#This Row],[UC]],Tabela6[[#All],[UC]:[UF]],2,FALSE)</f>
        <v>PR</v>
      </c>
      <c r="I175" s="230" t="s">
        <v>610</v>
      </c>
      <c r="J175" s="192">
        <f>IFERROR(VLOOKUP(Tabela134[[#This Row],[Espécie]],Tabela8[[#All],[Espécie]:[Nome fantasia]],4, FALSE), 0)</f>
        <v>0</v>
      </c>
      <c r="K175" s="165" t="s">
        <v>610</v>
      </c>
      <c r="L175" s="165" t="s">
        <v>610</v>
      </c>
    </row>
    <row r="176" spans="1:12" ht="19.5" customHeight="1">
      <c r="A176" s="152" t="s">
        <v>590</v>
      </c>
      <c r="B176" s="171" t="s">
        <v>749</v>
      </c>
      <c r="C176" s="152" t="str">
        <f>VLOOKUP(Tabela134[[#This Row],[Espécie]],Tabela2[[#All],[Espécie]:[Categoria de risco]],2,FALSE)</f>
        <v>badejo-branco, cerigado-cherne, cherna-preto, cherne-claro, cherne-pintado, cherne-verdadeiro, tapoan</v>
      </c>
      <c r="D176" s="152" t="str">
        <f>VLOOKUP(Tabela134[[#This Row],[Espécie]],Tabela2[[#All],[Espécie]:[Categoria de risco]],3,FALSE)</f>
        <v>Peixes Marinhos (ósseos)</v>
      </c>
      <c r="E176" s="152" t="str">
        <f>VLOOKUP(Tabela134[[#This Row],[Espécie]],Tabela2[[#All],[Espécie]:[Categoria de risco]],4,FALSE)</f>
        <v>Vulnerável</v>
      </c>
      <c r="G176" s="60" t="s">
        <v>730</v>
      </c>
      <c r="H176" s="152" t="str">
        <f>VLOOKUP(Tabela134[[#This Row],[UC]],Tabela6[[#All],[UC]:[UF]],2,FALSE)</f>
        <v>SC</v>
      </c>
      <c r="I176" s="230" t="s">
        <v>610</v>
      </c>
      <c r="J176" s="192">
        <f>IFERROR(VLOOKUP(Tabela134[[#This Row],[Espécie]],Tabela8[[#All],[Espécie]:[Nome fantasia]],4, FALSE), 0)</f>
        <v>0</v>
      </c>
      <c r="K176" s="165" t="s">
        <v>592</v>
      </c>
      <c r="L176" s="165" t="s">
        <v>592</v>
      </c>
    </row>
    <row r="177" spans="1:12" ht="19.5" customHeight="1">
      <c r="A177" s="152" t="s">
        <v>590</v>
      </c>
      <c r="B177" s="171" t="s">
        <v>737</v>
      </c>
      <c r="C177" s="152" t="str">
        <f>VLOOKUP(Tabela134[[#This Row],[Espécie]],Tabela2[[#All],[Espécie]:[Categoria de risco]],2,FALSE)</f>
        <v>rã-manezinha, rãzinha-do-folhiço-da-ilha</v>
      </c>
      <c r="D177" s="152" t="str">
        <f>VLOOKUP(Tabela134[[#This Row],[Espécie]],Tabela2[[#All],[Espécie]:[Categoria de risco]],3,FALSE)</f>
        <v>Anfíbios</v>
      </c>
      <c r="E177" s="152" t="str">
        <f>VLOOKUP(Tabela134[[#This Row],[Espécie]],Tabela2[[#All],[Espécie]:[Categoria de risco]],4,FALSE)</f>
        <v>Em perigo</v>
      </c>
      <c r="F177" s="172" t="s">
        <v>708</v>
      </c>
      <c r="G177" s="60" t="s">
        <v>730</v>
      </c>
      <c r="H177" s="152" t="str">
        <f>VLOOKUP(Tabela134[[#This Row],[UC]],Tabela6[[#All],[UC]:[UF]],2,FALSE)</f>
        <v>SC</v>
      </c>
      <c r="I177" s="230" t="s">
        <v>592</v>
      </c>
      <c r="J177" s="192" t="str">
        <f>IFERROR(VLOOKUP(Tabela134[[#This Row],[Espécie]],Tabela8[[#All],[Espécie]:[Nome fantasia]],4, FALSE), 0)</f>
        <v>Herpetofauna do Sul - 2º ciclo</v>
      </c>
      <c r="K177" s="165" t="s">
        <v>592</v>
      </c>
      <c r="L177" s="165" t="s">
        <v>592</v>
      </c>
    </row>
    <row r="178" spans="1:12" ht="19.5" customHeight="1">
      <c r="A178" s="152" t="s">
        <v>590</v>
      </c>
      <c r="B178" s="173" t="s">
        <v>842</v>
      </c>
      <c r="C178" s="152" t="str">
        <f>VLOOKUP(Tabela134[[#This Row],[Espécie]],Tabela2[[#All],[Espécie]:[Categoria de risco]],2,FALSE)</f>
        <v>Barriga-Listada, Bonito-Rajado, Bonito-Rei</v>
      </c>
      <c r="D178" s="152" t="str">
        <f>VLOOKUP(Tabela134[[#This Row],[Espécie]],Tabela2[[#All],[Espécie]:[Categoria de risco]],3,FALSE)</f>
        <v>Peixes Marinhos (ósseos)</v>
      </c>
      <c r="E178" s="152" t="str">
        <f>VLOOKUP(Tabela134[[#This Row],[Espécie]],Tabela2[[#All],[Espécie]:[Categoria de risco]],4,FALSE)</f>
        <v>Menos preocupante</v>
      </c>
      <c r="F178" s="152" t="s">
        <v>840</v>
      </c>
      <c r="G178" s="60" t="s">
        <v>770</v>
      </c>
      <c r="H178" s="152" t="str">
        <f>VLOOKUP(Tabela134[[#This Row],[UC]],Tabela6[[#All],[UC]:[UF]],2,FALSE)</f>
        <v>RS</v>
      </c>
      <c r="I178" s="230" t="s">
        <v>610</v>
      </c>
      <c r="J178" s="192">
        <f>IFERROR(VLOOKUP(Tabela134[[#This Row],[Espécie]],Tabela8[[#All],[Espécie]:[Nome fantasia]],4, FALSE), 0)</f>
        <v>0</v>
      </c>
      <c r="K178" s="165" t="s">
        <v>592</v>
      </c>
      <c r="L178" s="165" t="s">
        <v>592</v>
      </c>
    </row>
    <row r="179" spans="1:12" ht="19.5" customHeight="1">
      <c r="A179" s="152" t="s">
        <v>590</v>
      </c>
      <c r="B179" s="169" t="s">
        <v>624</v>
      </c>
      <c r="C179" s="152" t="str">
        <f>VLOOKUP(Tabela134[[#This Row],[Espécie]],Tabela2[[#All],[Espécie]:[Categoria de risco]],2,FALSE)</f>
        <v>Estilete</v>
      </c>
      <c r="D179" s="152" t="str">
        <f>VLOOKUP(Tabela134[[#This Row],[Espécie]],Tabela2[[#All],[Espécie]:[Categoria de risco]],3,FALSE)</f>
        <v>Invertebrados de água doce</v>
      </c>
      <c r="E179" s="152" t="str">
        <f>VLOOKUP(Tabela134[[#This Row],[Espécie]],Tabela2[[#All],[Espécie]:[Categoria de risco]],4,FALSE)</f>
        <v>Dados insuficientes</v>
      </c>
      <c r="F179" s="152" t="s">
        <v>625</v>
      </c>
      <c r="G179" s="60" t="s">
        <v>626</v>
      </c>
      <c r="H179" s="152" t="str">
        <f>VLOOKUP(Tabela134[[#This Row],[UC]],Tabela6[[#All],[UC]:[UF]],2,FALSE)</f>
        <v>RS</v>
      </c>
      <c r="I179" s="230" t="s">
        <v>610</v>
      </c>
      <c r="J179" s="192">
        <f>IFERROR(VLOOKUP(Tabela134[[#This Row],[Espécie]],Tabela8[[#All],[Espécie]:[Nome fantasia]],4, FALSE), 0)</f>
        <v>0</v>
      </c>
      <c r="K179" s="165" t="s">
        <v>592</v>
      </c>
      <c r="L179" s="165" t="s">
        <v>610</v>
      </c>
    </row>
    <row r="180" spans="1:12" ht="19.5" customHeight="1">
      <c r="A180" s="175" t="s">
        <v>2320</v>
      </c>
      <c r="B180" s="147" t="s">
        <v>1236</v>
      </c>
      <c r="C180" s="152" t="str">
        <f>VLOOKUP(Tabela134[[#This Row],[Espécie]],Tabela2[[#All],[Espécie]:[Categoria de risco]],2,FALSE)</f>
        <v>chibante</v>
      </c>
      <c r="D180" s="179" t="str">
        <f>VLOOKUP(Tabela134[[#This Row],[Espécie]],Tabela2[[#All],[Espécie]:[Categoria de risco]],3,FALSE)</f>
        <v>Aves</v>
      </c>
      <c r="E180" s="152" t="str">
        <f>VLOOKUP(Tabela134[[#This Row],[Espécie]],Tabela2[[#All],[Espécie]:[Categoria de risco]],4,FALSE)</f>
        <v>Em Perigo</v>
      </c>
      <c r="F180" s="175" t="s">
        <v>2313</v>
      </c>
      <c r="G180" s="174" t="s">
        <v>688</v>
      </c>
      <c r="H180" s="152" t="str">
        <f>VLOOKUP(Tabela134[[#This Row],[UC]],Tabela6[[#All],[UC]:[UF]],2,FALSE)</f>
        <v>SC</v>
      </c>
      <c r="I180" s="230" t="s">
        <v>592</v>
      </c>
      <c r="J180" s="192" t="str">
        <f>IFERROR(VLOOKUP(Tabela134[[#This Row],[Espécie]],Tabela8[[#All],[Espécie]:[Nome fantasia]],4, FALSE), 0)</f>
        <v>Aves da Mata Atlântica - 2º ciclo</v>
      </c>
      <c r="K180" s="165" t="s">
        <v>610</v>
      </c>
      <c r="L180" s="165" t="s">
        <v>610</v>
      </c>
    </row>
    <row r="181" spans="1:12" ht="19.5" customHeight="1">
      <c r="A181" s="152" t="s">
        <v>590</v>
      </c>
      <c r="B181" s="171" t="s">
        <v>681</v>
      </c>
      <c r="C181" s="152" t="str">
        <f>VLOOKUP(Tabela134[[#This Row],[Espécie]],Tabela2[[#All],[Espécie]:[Categoria de risco]],2,FALSE)</f>
        <v>gaivota-de-rabo-preto</v>
      </c>
      <c r="D181" s="152" t="str">
        <f>VLOOKUP(Tabela134[[#This Row],[Espécie]],Tabela2[[#All],[Espécie]:[Categoria de risco]],3,FALSE)</f>
        <v>Aves</v>
      </c>
      <c r="E181" s="152" t="str">
        <f>VLOOKUP(Tabela134[[#This Row],[Espécie]],Tabela2[[#All],[Espécie]:[Categoria de risco]],4,FALSE)</f>
        <v>Não aplicável</v>
      </c>
      <c r="F181" s="172" t="s">
        <v>674</v>
      </c>
      <c r="G181" s="60" t="s">
        <v>680</v>
      </c>
      <c r="H181" s="152" t="str">
        <f>VLOOKUP(Tabela134[[#This Row],[UC]],Tabela6[[#All],[UC]:[UF]],2,FALSE)</f>
        <v>RS</v>
      </c>
      <c r="I181" s="230" t="s">
        <v>610</v>
      </c>
      <c r="J181" s="192">
        <f>IFERROR(VLOOKUP(Tabela134[[#This Row],[Espécie]],Tabela8[[#All],[Espécie]:[Nome fantasia]],4, FALSE), 0)</f>
        <v>0</v>
      </c>
      <c r="K181" s="165" t="s">
        <v>610</v>
      </c>
      <c r="L181" s="165" t="s">
        <v>592</v>
      </c>
    </row>
    <row r="182" spans="1:12" ht="19.5" customHeight="1">
      <c r="A182" s="152" t="s">
        <v>590</v>
      </c>
      <c r="B182" s="173" t="s">
        <v>795</v>
      </c>
      <c r="C182" s="152" t="str">
        <f>VLOOKUP(Tabela134[[#This Row],[Espécie]],Tabela2[[#All],[Espécie]:[Categoria de risco]],2,FALSE)</f>
        <v>Gaivotão</v>
      </c>
      <c r="D182" s="152" t="str">
        <f>VLOOKUP(Tabela134[[#This Row],[Espécie]],Tabela2[[#All],[Espécie]:[Categoria de risco]],3,FALSE)</f>
        <v>Aves</v>
      </c>
      <c r="E182" s="152" t="str">
        <f>VLOOKUP(Tabela134[[#This Row],[Espécie]],Tabela2[[#All],[Espécie]:[Categoria de risco]],4,FALSE)</f>
        <v>Menos preocupante</v>
      </c>
      <c r="F182" s="152" t="s">
        <v>796</v>
      </c>
      <c r="G182" s="60" t="s">
        <v>770</v>
      </c>
      <c r="H182" s="152" t="str">
        <f>VLOOKUP(Tabela134[[#This Row],[UC]],Tabela6[[#All],[UC]:[UF]],2,FALSE)</f>
        <v>RS</v>
      </c>
      <c r="I182" s="230" t="s">
        <v>610</v>
      </c>
      <c r="J182" s="192">
        <f>IFERROR(VLOOKUP(Tabela134[[#This Row],[Espécie]],Tabela8[[#All],[Espécie]:[Nome fantasia]],4, FALSE), 0)</f>
        <v>0</v>
      </c>
      <c r="K182" s="165" t="s">
        <v>592</v>
      </c>
      <c r="L182" s="165" t="s">
        <v>592</v>
      </c>
    </row>
    <row r="183" spans="1:12" ht="19.5" customHeight="1">
      <c r="A183" s="152" t="s">
        <v>590</v>
      </c>
      <c r="B183" s="171" t="s">
        <v>620</v>
      </c>
      <c r="C183" s="152" t="str">
        <f>VLOOKUP(Tabela134[[#This Row],[Espécie]],Tabela2[[#All],[Espécie]:[Categoria de risco]],2,FALSE)</f>
        <v>mico-caiçara, Mico-leão-da-cara-preta, saguizinho</v>
      </c>
      <c r="D183" s="152" t="str">
        <f>VLOOKUP(Tabela134[[#This Row],[Espécie]],Tabela2[[#All],[Espécie]:[Categoria de risco]],3,FALSE)</f>
        <v>Mamíferos</v>
      </c>
      <c r="E183" s="152" t="str">
        <f>VLOOKUP(Tabela134[[#This Row],[Espécie]],Tabela2[[#All],[Espécie]:[Categoria de risco]],4,FALSE)</f>
        <v>Em Perigo</v>
      </c>
      <c r="G183" s="60" t="s">
        <v>613</v>
      </c>
      <c r="H183" s="152" t="str">
        <f>VLOOKUP(Tabela134[[#This Row],[UC]],Tabela6[[#All],[UC]:[UF]],2,FALSE)</f>
        <v>SP/PR</v>
      </c>
      <c r="I183" s="230" t="s">
        <v>610</v>
      </c>
      <c r="J183" s="192">
        <f>IFERROR(VLOOKUP(Tabela134[[#This Row],[Espécie]],Tabela8[[#All],[Espécie]:[Nome fantasia]],4, FALSE), 0)</f>
        <v>0</v>
      </c>
      <c r="K183" s="165" t="s">
        <v>592</v>
      </c>
      <c r="L183" s="165" t="s">
        <v>592</v>
      </c>
    </row>
    <row r="184" spans="1:12" ht="19.5" customHeight="1">
      <c r="A184" s="152" t="s">
        <v>590</v>
      </c>
      <c r="B184" s="171" t="s">
        <v>620</v>
      </c>
      <c r="C184" s="152" t="str">
        <f>VLOOKUP(Tabela134[[#This Row],[Espécie]],Tabela2[[#All],[Espécie]:[Categoria de risco]],2,FALSE)</f>
        <v>mico-caiçara, Mico-leão-da-cara-preta, saguizinho</v>
      </c>
      <c r="D184" s="152" t="str">
        <f>VLOOKUP(Tabela134[[#This Row],[Espécie]],Tabela2[[#All],[Espécie]:[Categoria de risco]],3,FALSE)</f>
        <v>Mamíferos</v>
      </c>
      <c r="E184" s="152" t="str">
        <f>VLOOKUP(Tabela134[[#This Row],[Espécie]],Tabela2[[#All],[Espécie]:[Categoria de risco]],4,FALSE)</f>
        <v>Em Perigo</v>
      </c>
      <c r="G184" s="60" t="s">
        <v>718</v>
      </c>
      <c r="H184" s="152" t="str">
        <f>VLOOKUP(Tabela134[[#This Row],[UC]],Tabela6[[#All],[UC]:[UF]],2,FALSE)</f>
        <v>SP/PR</v>
      </c>
      <c r="I184" s="230" t="s">
        <v>610</v>
      </c>
      <c r="J184" s="192">
        <f>IFERROR(VLOOKUP(Tabela134[[#This Row],[Espécie]],Tabela8[[#All],[Espécie]:[Nome fantasia]],4, FALSE), 0)</f>
        <v>0</v>
      </c>
      <c r="K184" s="165" t="s">
        <v>592</v>
      </c>
      <c r="L184" s="165" t="s">
        <v>592</v>
      </c>
    </row>
    <row r="185" spans="1:12" ht="19.5" customHeight="1">
      <c r="A185" s="152" t="s">
        <v>590</v>
      </c>
      <c r="B185" s="171" t="s">
        <v>637</v>
      </c>
      <c r="C185" s="152" t="str">
        <f>VLOOKUP(Tabela134[[#This Row],[Espécie]],Tabela2[[#All],[Espécie]:[Categoria de risco]],2,FALSE)</f>
        <v>Gato-dos-pampas, Gato-palheiro</v>
      </c>
      <c r="D185" s="152" t="str">
        <f>VLOOKUP(Tabela134[[#This Row],[Espécie]],Tabela2[[#All],[Espécie]:[Categoria de risco]],3,FALSE)</f>
        <v>Mamíferos</v>
      </c>
      <c r="E185" s="152" t="str">
        <f>VLOOKUP(Tabela134[[#This Row],[Espécie]],Tabela2[[#All],[Espécie]:[Categoria de risco]],4,FALSE)</f>
        <v>Vulnerável</v>
      </c>
      <c r="F185" s="152" t="s">
        <v>638</v>
      </c>
      <c r="G185" s="60" t="s">
        <v>634</v>
      </c>
      <c r="H185" s="152" t="str">
        <f>VLOOKUP(Tabela134[[#This Row],[UC]],Tabela6[[#All],[UC]:[UF]],2,FALSE)</f>
        <v>SC</v>
      </c>
      <c r="I185" s="230" t="s">
        <v>610</v>
      </c>
      <c r="J185" s="192">
        <f>IFERROR(VLOOKUP(Tabela134[[#This Row],[Espécie]],Tabela8[[#All],[Espécie]:[Nome fantasia]],4, FALSE), 0)</f>
        <v>0</v>
      </c>
      <c r="K185" s="165" t="s">
        <v>610</v>
      </c>
      <c r="L185" s="165" t="s">
        <v>592</v>
      </c>
    </row>
    <row r="186" spans="1:12" ht="19.5" customHeight="1">
      <c r="A186" s="152" t="s">
        <v>590</v>
      </c>
      <c r="B186" s="171" t="s">
        <v>637</v>
      </c>
      <c r="C186" s="152" t="str">
        <f>VLOOKUP(Tabela134[[#This Row],[Espécie]],Tabela2[[#All],[Espécie]:[Categoria de risco]],2,FALSE)</f>
        <v>Gato-dos-pampas, Gato-palheiro</v>
      </c>
      <c r="D186" s="152" t="str">
        <f>VLOOKUP(Tabela134[[#This Row],[Espécie]],Tabela2[[#All],[Espécie]:[Categoria de risco]],3,FALSE)</f>
        <v>Mamíferos</v>
      </c>
      <c r="E186" s="152" t="str">
        <f>VLOOKUP(Tabela134[[#This Row],[Espécie]],Tabela2[[#All],[Espécie]:[Categoria de risco]],4,FALSE)</f>
        <v>Vulnerável</v>
      </c>
      <c r="F186" s="175"/>
      <c r="G186" s="60" t="s">
        <v>703</v>
      </c>
      <c r="H186" s="152" t="str">
        <f>VLOOKUP(Tabela134[[#This Row],[UC]],Tabela6[[#All],[UC]:[UF]],2,FALSE)</f>
        <v>MS/PR</v>
      </c>
      <c r="I186" s="230" t="s">
        <v>610</v>
      </c>
      <c r="J186" s="192">
        <f>IFERROR(VLOOKUP(Tabela134[[#This Row],[Espécie]],Tabela8[[#All],[Espécie]:[Nome fantasia]],4, FALSE), 0)</f>
        <v>0</v>
      </c>
      <c r="K186" s="165" t="s">
        <v>592</v>
      </c>
      <c r="L186" s="165" t="s">
        <v>592</v>
      </c>
    </row>
    <row r="187" spans="1:12" ht="19.5" customHeight="1">
      <c r="A187" s="175" t="s">
        <v>2320</v>
      </c>
      <c r="B187" s="147" t="s">
        <v>1317</v>
      </c>
      <c r="C187" s="152" t="str">
        <f>VLOOKUP(Tabela134[[#This Row],[Espécie]],Tabela2[[#All],[Espécie]:[Categoria de risco]],2,FALSE)</f>
        <v>Gato-do-mato, Gato-do-mato-grande</v>
      </c>
      <c r="D187" s="179" t="str">
        <f>VLOOKUP(Tabela134[[#This Row],[Espécie]],Tabela2[[#All],[Espécie]:[Categoria de risco]],3,FALSE)</f>
        <v>Mamíferos</v>
      </c>
      <c r="E187" s="152" t="str">
        <f>VLOOKUP(Tabela134[[#This Row],[Espécie]],Tabela2[[#All],[Espécie]:[Categoria de risco]],4,FALSE)</f>
        <v>Vulnerável</v>
      </c>
      <c r="F187" s="175" t="s">
        <v>2313</v>
      </c>
      <c r="G187" s="174" t="s">
        <v>626</v>
      </c>
      <c r="H187" s="152" t="str">
        <f>VLOOKUP(Tabela134[[#This Row],[UC]],Tabela6[[#All],[UC]:[UF]],2,FALSE)</f>
        <v>RS</v>
      </c>
      <c r="I187" s="230" t="s">
        <v>592</v>
      </c>
      <c r="J187" s="192" t="str">
        <f>IFERROR(VLOOKUP(Tabela134[[#This Row],[Espécie]],Tabela8[[#All],[Espécie]:[Nome fantasia]],4, FALSE), 0)</f>
        <v>Pequenos Felinos - 2º ciclo</v>
      </c>
      <c r="K187" s="165" t="s">
        <v>610</v>
      </c>
      <c r="L187" s="165" t="s">
        <v>610</v>
      </c>
    </row>
    <row r="188" spans="1:12" ht="19.5" customHeight="1">
      <c r="A188" s="175" t="s">
        <v>2320</v>
      </c>
      <c r="B188" s="147" t="s">
        <v>1317</v>
      </c>
      <c r="C188" s="152" t="str">
        <f>VLOOKUP(Tabela134[[#This Row],[Espécie]],Tabela2[[#All],[Espécie]:[Categoria de risco]],2,FALSE)</f>
        <v>Gato-do-mato, Gato-do-mato-grande</v>
      </c>
      <c r="D188" s="179" t="str">
        <f>VLOOKUP(Tabela134[[#This Row],[Espécie]],Tabela2[[#All],[Espécie]:[Categoria de risco]],3,FALSE)</f>
        <v>Mamíferos</v>
      </c>
      <c r="E188" s="152" t="str">
        <f>VLOOKUP(Tabela134[[#This Row],[Espécie]],Tabela2[[#All],[Espécie]:[Categoria de risco]],4,FALSE)</f>
        <v>Vulnerável</v>
      </c>
      <c r="F188" s="175" t="s">
        <v>2313</v>
      </c>
      <c r="G188" s="174" t="s">
        <v>2314</v>
      </c>
      <c r="H188" s="152" t="str">
        <f>VLOOKUP(Tabela134[[#This Row],[UC]],Tabela6[[#All],[UC]:[UF]],2,FALSE)</f>
        <v>RS</v>
      </c>
      <c r="I188" s="230" t="s">
        <v>592</v>
      </c>
      <c r="J188" s="192" t="str">
        <f>IFERROR(VLOOKUP(Tabela134[[#This Row],[Espécie]],Tabela8[[#All],[Espécie]:[Nome fantasia]],4, FALSE), 0)</f>
        <v>Pequenos Felinos - 2º ciclo</v>
      </c>
      <c r="K188" s="165" t="s">
        <v>610</v>
      </c>
      <c r="L188" s="165" t="s">
        <v>610</v>
      </c>
    </row>
    <row r="189" spans="1:12" ht="19.5" customHeight="1">
      <c r="A189" s="152" t="s">
        <v>622</v>
      </c>
      <c r="B189" s="171" t="s">
        <v>249</v>
      </c>
      <c r="C189" s="152" t="str">
        <f>VLOOKUP(Tabela134[[#This Row],[Espécie]],Tabela2[[#All],[Espécie]:[Categoria de risco]],2,FALSE)</f>
        <v>Gato-do-mato</v>
      </c>
      <c r="D189" s="152" t="str">
        <f>VLOOKUP(Tabela134[[#This Row],[Espécie]],Tabela2[[#All],[Espécie]:[Categoria de risco]],3,FALSE)</f>
        <v>Mamíferos</v>
      </c>
      <c r="E189" s="152" t="str">
        <f>VLOOKUP(Tabela134[[#This Row],[Espécie]],Tabela2[[#All],[Espécie]:[Categoria de risco]],4,FALSE)</f>
        <v>Vulnerável</v>
      </c>
      <c r="G189" s="60" t="s">
        <v>629</v>
      </c>
      <c r="H189" s="152" t="str">
        <f>VLOOKUP(Tabela134[[#This Row],[UC]],Tabela6[[#All],[UC]:[UF]],2,FALSE)</f>
        <v>SC</v>
      </c>
      <c r="I189" s="230" t="s">
        <v>610</v>
      </c>
      <c r="J189" s="192">
        <f>IFERROR(VLOOKUP(Tabela134[[#This Row],[Espécie]],Tabela8[[#All],[Espécie]:[Nome fantasia]],4, FALSE), 0)</f>
        <v>0</v>
      </c>
      <c r="K189" s="165" t="s">
        <v>592</v>
      </c>
      <c r="L189" s="165" t="s">
        <v>592</v>
      </c>
    </row>
    <row r="190" spans="1:12" ht="19.5" customHeight="1">
      <c r="A190" s="152" t="s">
        <v>622</v>
      </c>
      <c r="B190" s="171" t="s">
        <v>249</v>
      </c>
      <c r="C190" s="152" t="str">
        <f>VLOOKUP(Tabela134[[#This Row],[Espécie]],Tabela2[[#All],[Espécie]:[Categoria de risco]],2,FALSE)</f>
        <v>Gato-do-mato</v>
      </c>
      <c r="D190" s="152" t="str">
        <f>VLOOKUP(Tabela134[[#This Row],[Espécie]],Tabela2[[#All],[Espécie]:[Categoria de risco]],3,FALSE)</f>
        <v>Mamíferos</v>
      </c>
      <c r="E190" s="152" t="str">
        <f>VLOOKUP(Tabela134[[#This Row],[Espécie]],Tabela2[[#All],[Espécie]:[Categoria de risco]],4,FALSE)</f>
        <v>Vulnerável</v>
      </c>
      <c r="G190" s="60" t="s">
        <v>665</v>
      </c>
      <c r="H190" s="152" t="str">
        <f>VLOOKUP(Tabela134[[#This Row],[UC]],Tabela6[[#All],[UC]:[UF]],2,FALSE)</f>
        <v>SC</v>
      </c>
      <c r="I190" s="230" t="s">
        <v>610</v>
      </c>
      <c r="J190" s="192">
        <f>IFERROR(VLOOKUP(Tabela134[[#This Row],[Espécie]],Tabela8[[#All],[Espécie]:[Nome fantasia]],4, FALSE), 0)</f>
        <v>0</v>
      </c>
      <c r="K190" s="165" t="s">
        <v>592</v>
      </c>
      <c r="L190" s="165" t="s">
        <v>592</v>
      </c>
    </row>
    <row r="191" spans="1:12" ht="19.5" customHeight="1">
      <c r="A191" s="152" t="s">
        <v>590</v>
      </c>
      <c r="B191" s="171" t="s">
        <v>608</v>
      </c>
      <c r="C191" s="152" t="str">
        <f>VLOOKUP(Tabela134[[#This Row],[Espécie]],Tabela2[[#All],[Espécie]:[Categoria de risco]],2,FALSE)</f>
        <v>Canguçu, Gato-do-mato-grande, Jaguatirica, Maracajá, meia-malha, Oncinha</v>
      </c>
      <c r="D191" s="152" t="str">
        <f>VLOOKUP(Tabela134[[#This Row],[Espécie]],Tabela2[[#All],[Espécie]:[Categoria de risco]],3,FALSE)</f>
        <v>Mamíferos</v>
      </c>
      <c r="E191" s="152" t="str">
        <f>VLOOKUP(Tabela134[[#This Row],[Espécie]],Tabela2[[#All],[Espécie]:[Categoria de risco]],4,FALSE)</f>
        <v>Menos preocupante</v>
      </c>
      <c r="G191" s="60" t="s">
        <v>602</v>
      </c>
      <c r="H191" s="152" t="str">
        <f>VLOOKUP(Tabela134[[#This Row],[UC]],Tabela6[[#All],[UC]:[UF]],2,FALSE)</f>
        <v>SP/PR/MS</v>
      </c>
      <c r="I191" s="230" t="s">
        <v>610</v>
      </c>
      <c r="J191" s="192">
        <f>IFERROR(VLOOKUP(Tabela134[[#This Row],[Espécie]],Tabela8[[#All],[Espécie]:[Nome fantasia]],4, FALSE), 0)</f>
        <v>0</v>
      </c>
      <c r="K191" s="165" t="s">
        <v>592</v>
      </c>
      <c r="L191" s="165" t="s">
        <v>592</v>
      </c>
    </row>
    <row r="192" spans="1:12" ht="19.5" customHeight="1">
      <c r="A192" s="152" t="s">
        <v>590</v>
      </c>
      <c r="B192" s="171" t="s">
        <v>608</v>
      </c>
      <c r="C192" s="152" t="str">
        <f>VLOOKUP(Tabela134[[#This Row],[Espécie]],Tabela2[[#All],[Espécie]:[Categoria de risco]],2,FALSE)</f>
        <v>Canguçu, Gato-do-mato-grande, Jaguatirica, Maracajá, meia-malha, Oncinha</v>
      </c>
      <c r="D192" s="152" t="str">
        <f>VLOOKUP(Tabela134[[#This Row],[Espécie]],Tabela2[[#All],[Espécie]:[Categoria de risco]],3,FALSE)</f>
        <v>Mamíferos</v>
      </c>
      <c r="E192" s="152" t="str">
        <f>VLOOKUP(Tabela134[[#This Row],[Espécie]],Tabela2[[#All],[Espécie]:[Categoria de risco]],4,FALSE)</f>
        <v>Menos preocupante</v>
      </c>
      <c r="G192" s="60" t="s">
        <v>634</v>
      </c>
      <c r="H192" s="152" t="str">
        <f>VLOOKUP(Tabela134[[#This Row],[UC]],Tabela6[[#All],[UC]:[UF]],2,FALSE)</f>
        <v>SC</v>
      </c>
      <c r="I192" s="230" t="s">
        <v>610</v>
      </c>
      <c r="J192" s="192">
        <f>IFERROR(VLOOKUP(Tabela134[[#This Row],[Espécie]],Tabela8[[#All],[Espécie]:[Nome fantasia]],4, FALSE), 0)</f>
        <v>0</v>
      </c>
      <c r="K192" s="165" t="s">
        <v>610</v>
      </c>
      <c r="L192" s="165" t="s">
        <v>592</v>
      </c>
    </row>
    <row r="193" spans="1:12" ht="19.5" customHeight="1">
      <c r="A193" s="152" t="s">
        <v>590</v>
      </c>
      <c r="B193" s="171" t="s">
        <v>608</v>
      </c>
      <c r="C193" s="152" t="str">
        <f>VLOOKUP(Tabela134[[#This Row],[Espécie]],Tabela2[[#All],[Espécie]:[Categoria de risco]],2,FALSE)</f>
        <v>Canguçu, Gato-do-mato-grande, Jaguatirica, Maracajá, meia-malha, Oncinha</v>
      </c>
      <c r="D193" s="152" t="str">
        <f>VLOOKUP(Tabela134[[#This Row],[Espécie]],Tabela2[[#All],[Espécie]:[Categoria de risco]],3,FALSE)</f>
        <v>Mamíferos</v>
      </c>
      <c r="E193" s="152" t="str">
        <f>VLOOKUP(Tabela134[[#This Row],[Espécie]],Tabela2[[#All],[Espécie]:[Categoria de risco]],4,FALSE)</f>
        <v>Menos preocupante</v>
      </c>
      <c r="F193" s="60" t="s">
        <v>672</v>
      </c>
      <c r="G193" s="60" t="s">
        <v>670</v>
      </c>
      <c r="H193" s="152" t="str">
        <f>VLOOKUP(Tabela134[[#This Row],[UC]],Tabela6[[#All],[UC]:[UF]],2,FALSE)</f>
        <v>RS</v>
      </c>
      <c r="I193" s="230" t="s">
        <v>610</v>
      </c>
      <c r="J193" s="192">
        <f>IFERROR(VLOOKUP(Tabela134[[#This Row],[Espécie]],Tabela8[[#All],[Espécie]:[Nome fantasia]],4, FALSE), 0)</f>
        <v>0</v>
      </c>
      <c r="K193" s="165" t="s">
        <v>610</v>
      </c>
      <c r="L193" s="165" t="s">
        <v>610</v>
      </c>
    </row>
    <row r="194" spans="1:12" ht="19.5" customHeight="1">
      <c r="A194" s="152" t="s">
        <v>590</v>
      </c>
      <c r="B194" s="171" t="s">
        <v>608</v>
      </c>
      <c r="C194" s="152" t="str">
        <f>VLOOKUP(Tabela134[[#This Row],[Espécie]],Tabela2[[#All],[Espécie]:[Categoria de risco]],2,FALSE)</f>
        <v>Canguçu, Gato-do-mato-grande, Jaguatirica, Maracajá, meia-malha, Oncinha</v>
      </c>
      <c r="D194" s="152" t="str">
        <f>VLOOKUP(Tabela134[[#This Row],[Espécie]],Tabela2[[#All],[Espécie]:[Categoria de risco]],3,FALSE)</f>
        <v>Mamíferos</v>
      </c>
      <c r="E194" s="152" t="str">
        <f>VLOOKUP(Tabela134[[#This Row],[Espécie]],Tabela2[[#All],[Espécie]:[Categoria de risco]],4,FALSE)</f>
        <v>Menos preocupante</v>
      </c>
      <c r="F194" s="60" t="s">
        <v>672</v>
      </c>
      <c r="G194" s="60" t="s">
        <v>137</v>
      </c>
      <c r="H194" s="152" t="str">
        <f>VLOOKUP(Tabela134[[#This Row],[UC]],Tabela6[[#All],[UC]:[UF]],2,FALSE)</f>
        <v>SC</v>
      </c>
      <c r="I194" s="230" t="s">
        <v>610</v>
      </c>
      <c r="J194" s="192">
        <f>IFERROR(VLOOKUP(Tabela134[[#This Row],[Espécie]],Tabela8[[#All],[Espécie]:[Nome fantasia]],4, FALSE), 0)</f>
        <v>0</v>
      </c>
      <c r="K194" s="165" t="s">
        <v>592</v>
      </c>
      <c r="L194" s="165" t="s">
        <v>592</v>
      </c>
    </row>
    <row r="195" spans="1:12" ht="19.5" customHeight="1">
      <c r="A195" s="152" t="s">
        <v>590</v>
      </c>
      <c r="B195" s="171" t="s">
        <v>608</v>
      </c>
      <c r="C195" s="152" t="str">
        <f>VLOOKUP(Tabela134[[#This Row],[Espécie]],Tabela2[[#All],[Espécie]:[Categoria de risco]],2,FALSE)</f>
        <v>Canguçu, Gato-do-mato-grande, Jaguatirica, Maracajá, meia-malha, Oncinha</v>
      </c>
      <c r="D195" s="152" t="str">
        <f>VLOOKUP(Tabela134[[#This Row],[Espécie]],Tabela2[[#All],[Espécie]:[Categoria de risco]],3,FALSE)</f>
        <v>Mamíferos</v>
      </c>
      <c r="E195" s="152" t="str">
        <f>VLOOKUP(Tabela134[[#This Row],[Espécie]],Tabela2[[#All],[Espécie]:[Categoria de risco]],4,FALSE)</f>
        <v>Menos preocupante</v>
      </c>
      <c r="G195" s="60" t="s">
        <v>697</v>
      </c>
      <c r="H195" s="152" t="str">
        <f>VLOOKUP(Tabela134[[#This Row],[UC]],Tabela6[[#All],[UC]:[UF]],2,FALSE)</f>
        <v>PR</v>
      </c>
      <c r="I195" s="230" t="s">
        <v>610</v>
      </c>
      <c r="J195" s="192">
        <f>IFERROR(VLOOKUP(Tabela134[[#This Row],[Espécie]],Tabela8[[#All],[Espécie]:[Nome fantasia]],4, FALSE), 0)</f>
        <v>0</v>
      </c>
      <c r="K195" s="165" t="s">
        <v>610</v>
      </c>
      <c r="L195" s="165" t="s">
        <v>592</v>
      </c>
    </row>
    <row r="196" spans="1:12" ht="19.5" customHeight="1">
      <c r="A196" s="152" t="s">
        <v>590</v>
      </c>
      <c r="B196" s="171" t="s">
        <v>608</v>
      </c>
      <c r="C196" s="152" t="str">
        <f>VLOOKUP(Tabela134[[#This Row],[Espécie]],Tabela2[[#All],[Espécie]:[Categoria de risco]],2,FALSE)</f>
        <v>Canguçu, Gato-do-mato-grande, Jaguatirica, Maracajá, meia-malha, Oncinha</v>
      </c>
      <c r="D196" s="152" t="str">
        <f>VLOOKUP(Tabela134[[#This Row],[Espécie]],Tabela2[[#All],[Espécie]:[Categoria de risco]],3,FALSE)</f>
        <v>Mamíferos</v>
      </c>
      <c r="E196" s="152" t="str">
        <f>VLOOKUP(Tabela134[[#This Row],[Espécie]],Tabela2[[#All],[Espécie]:[Categoria de risco]],4,FALSE)</f>
        <v>Menos preocupante</v>
      </c>
      <c r="G196" s="60" t="s">
        <v>703</v>
      </c>
      <c r="H196" s="152" t="str">
        <f>VLOOKUP(Tabela134[[#This Row],[UC]],Tabela6[[#All],[UC]:[UF]],2,FALSE)</f>
        <v>MS/PR</v>
      </c>
      <c r="I196" s="230" t="s">
        <v>610</v>
      </c>
      <c r="J196" s="192">
        <f>IFERROR(VLOOKUP(Tabela134[[#This Row],[Espécie]],Tabela8[[#All],[Espécie]:[Nome fantasia]],4, FALSE), 0)</f>
        <v>0</v>
      </c>
      <c r="K196" s="165" t="s">
        <v>592</v>
      </c>
      <c r="L196" s="165" t="s">
        <v>592</v>
      </c>
    </row>
    <row r="197" spans="1:12" ht="19.5" customHeight="1">
      <c r="A197" s="152" t="s">
        <v>590</v>
      </c>
      <c r="B197" s="171" t="s">
        <v>608</v>
      </c>
      <c r="C197" s="152" t="str">
        <f>VLOOKUP(Tabela134[[#This Row],[Espécie]],Tabela2[[#All],[Espécie]:[Categoria de risco]],2,FALSE)</f>
        <v>Canguçu, Gato-do-mato-grande, Jaguatirica, Maracajá, meia-malha, Oncinha</v>
      </c>
      <c r="D197" s="152" t="str">
        <f>VLOOKUP(Tabela134[[#This Row],[Espécie]],Tabela2[[#All],[Espécie]:[Categoria de risco]],3,FALSE)</f>
        <v>Mamíferos</v>
      </c>
      <c r="E197" s="152" t="str">
        <f>VLOOKUP(Tabela134[[#This Row],[Espécie]],Tabela2[[#All],[Espécie]:[Categoria de risco]],4,FALSE)</f>
        <v>Menos preocupante</v>
      </c>
      <c r="F197" s="60" t="s">
        <v>672</v>
      </c>
      <c r="G197" s="60" t="s">
        <v>715</v>
      </c>
      <c r="H197" s="152" t="str">
        <f>VLOOKUP(Tabela134[[#This Row],[UC]],Tabela6[[#All],[UC]:[UF]],2,FALSE)</f>
        <v>PR</v>
      </c>
      <c r="I197" s="230" t="s">
        <v>610</v>
      </c>
      <c r="J197" s="192">
        <f>IFERROR(VLOOKUP(Tabela134[[#This Row],[Espécie]],Tabela8[[#All],[Espécie]:[Nome fantasia]],4, FALSE), 0)</f>
        <v>0</v>
      </c>
      <c r="K197" s="165" t="s">
        <v>592</v>
      </c>
      <c r="L197" s="165" t="s">
        <v>592</v>
      </c>
    </row>
    <row r="198" spans="1:12" ht="19.5" customHeight="1">
      <c r="A198" s="152" t="s">
        <v>590</v>
      </c>
      <c r="B198" s="171" t="s">
        <v>608</v>
      </c>
      <c r="C198" s="152" t="str">
        <f>VLOOKUP(Tabela134[[#This Row],[Espécie]],Tabela2[[#All],[Espécie]:[Categoria de risco]],2,FALSE)</f>
        <v>Canguçu, Gato-do-mato-grande, Jaguatirica, Maracajá, meia-malha, Oncinha</v>
      </c>
      <c r="D198" s="152" t="str">
        <f>VLOOKUP(Tabela134[[#This Row],[Espécie]],Tabela2[[#All],[Espécie]:[Categoria de risco]],3,FALSE)</f>
        <v>Mamíferos</v>
      </c>
      <c r="E198" s="152" t="str">
        <f>VLOOKUP(Tabela134[[#This Row],[Espécie]],Tabela2[[#All],[Espécie]:[Categoria de risco]],4,FALSE)</f>
        <v>Menos preocupante</v>
      </c>
      <c r="G198" s="60" t="s">
        <v>726</v>
      </c>
      <c r="H198" s="152" t="str">
        <f>VLOOKUP(Tabela134[[#This Row],[UC]],Tabela6[[#All],[UC]:[UF]],2,FALSE)</f>
        <v>PR</v>
      </c>
      <c r="I198" s="230" t="s">
        <v>610</v>
      </c>
      <c r="J198" s="192">
        <f>IFERROR(VLOOKUP(Tabela134[[#This Row],[Espécie]],Tabela8[[#All],[Espécie]:[Nome fantasia]],4, FALSE), 0)</f>
        <v>0</v>
      </c>
      <c r="K198" s="165" t="s">
        <v>592</v>
      </c>
      <c r="L198" s="165" t="s">
        <v>592</v>
      </c>
    </row>
    <row r="199" spans="1:12" ht="19.5" customHeight="1">
      <c r="A199" s="152" t="s">
        <v>622</v>
      </c>
      <c r="B199" s="171" t="s">
        <v>608</v>
      </c>
      <c r="C199" s="152" t="str">
        <f>VLOOKUP(Tabela134[[#This Row],[Espécie]],Tabela2[[#All],[Espécie]:[Categoria de risco]],2,FALSE)</f>
        <v>Canguçu, Gato-do-mato-grande, Jaguatirica, Maracajá, meia-malha, Oncinha</v>
      </c>
      <c r="D199" s="152" t="str">
        <f>VLOOKUP(Tabela134[[#This Row],[Espécie]],Tabela2[[#All],[Espécie]:[Categoria de risco]],3,FALSE)</f>
        <v>Mamíferos</v>
      </c>
      <c r="E199" s="152" t="str">
        <f>VLOOKUP(Tabela134[[#This Row],[Espécie]],Tabela2[[#All],[Espécie]:[Categoria de risco]],4,FALSE)</f>
        <v>Menos preocupante</v>
      </c>
      <c r="G199" s="60" t="s">
        <v>629</v>
      </c>
      <c r="H199" s="152" t="str">
        <f>VLOOKUP(Tabela134[[#This Row],[UC]],Tabela6[[#All],[UC]:[UF]],2,FALSE)</f>
        <v>SC</v>
      </c>
      <c r="I199" s="230" t="s">
        <v>610</v>
      </c>
      <c r="J199" s="192">
        <f>IFERROR(VLOOKUP(Tabela134[[#This Row],[Espécie]],Tabela8[[#All],[Espécie]:[Nome fantasia]],4, FALSE), 0)</f>
        <v>0</v>
      </c>
      <c r="K199" s="165" t="s">
        <v>592</v>
      </c>
      <c r="L199" s="165" t="s">
        <v>592</v>
      </c>
    </row>
    <row r="200" spans="1:12" ht="19.5" customHeight="1">
      <c r="A200" s="152" t="s">
        <v>622</v>
      </c>
      <c r="B200" s="171" t="s">
        <v>608</v>
      </c>
      <c r="C200" s="152" t="str">
        <f>VLOOKUP(Tabela134[[#This Row],[Espécie]],Tabela2[[#All],[Espécie]:[Categoria de risco]],2,FALSE)</f>
        <v>Canguçu, Gato-do-mato-grande, Jaguatirica, Maracajá, meia-malha, Oncinha</v>
      </c>
      <c r="D200" s="152" t="str">
        <f>VLOOKUP(Tabela134[[#This Row],[Espécie]],Tabela2[[#All],[Espécie]:[Categoria de risco]],3,FALSE)</f>
        <v>Mamíferos</v>
      </c>
      <c r="E200" s="152" t="str">
        <f>VLOOKUP(Tabela134[[#This Row],[Espécie]],Tabela2[[#All],[Espécie]:[Categoria de risco]],4,FALSE)</f>
        <v>Menos preocupante</v>
      </c>
      <c r="F200" s="152" t="s">
        <v>666</v>
      </c>
      <c r="G200" s="60" t="s">
        <v>665</v>
      </c>
      <c r="H200" s="152" t="str">
        <f>VLOOKUP(Tabela134[[#This Row],[UC]],Tabela6[[#All],[UC]:[UF]],2,FALSE)</f>
        <v>SC</v>
      </c>
      <c r="I200" s="230" t="s">
        <v>610</v>
      </c>
      <c r="J200" s="192">
        <f>IFERROR(VLOOKUP(Tabela134[[#This Row],[Espécie]],Tabela8[[#All],[Espécie]:[Nome fantasia]],4, FALSE), 0)</f>
        <v>0</v>
      </c>
      <c r="K200" s="165" t="s">
        <v>592</v>
      </c>
      <c r="L200" s="165" t="s">
        <v>592</v>
      </c>
    </row>
    <row r="201" spans="1:12" ht="19.5" customHeight="1">
      <c r="A201" s="152" t="s">
        <v>622</v>
      </c>
      <c r="B201" s="171" t="s">
        <v>608</v>
      </c>
      <c r="C201" s="152" t="str">
        <f>VLOOKUP(Tabela134[[#This Row],[Espécie]],Tabela2[[#All],[Espécie]:[Categoria de risco]],2,FALSE)</f>
        <v>Canguçu, Gato-do-mato-grande, Jaguatirica, Maracajá, meia-malha, Oncinha</v>
      </c>
      <c r="D201" s="152" t="str">
        <f>VLOOKUP(Tabela134[[#This Row],[Espécie]],Tabela2[[#All],[Espécie]:[Categoria de risco]],3,FALSE)</f>
        <v>Mamíferos</v>
      </c>
      <c r="E201" s="152" t="str">
        <f>VLOOKUP(Tabela134[[#This Row],[Espécie]],Tabela2[[#All],[Espécie]:[Categoria de risco]],4,FALSE)</f>
        <v>Menos preocupante</v>
      </c>
      <c r="G201" s="60" t="s">
        <v>711</v>
      </c>
      <c r="H201" s="152" t="str">
        <f>VLOOKUP(Tabela134[[#This Row],[UC]],Tabela6[[#All],[UC]:[UF]],2,FALSE)</f>
        <v>SC</v>
      </c>
      <c r="I201" s="230" t="s">
        <v>610</v>
      </c>
      <c r="J201" s="192">
        <f>IFERROR(VLOOKUP(Tabela134[[#This Row],[Espécie]],Tabela8[[#All],[Espécie]:[Nome fantasia]],4, FALSE), 0)</f>
        <v>0</v>
      </c>
      <c r="K201" s="165" t="s">
        <v>592</v>
      </c>
      <c r="L201" s="165" t="s">
        <v>592</v>
      </c>
    </row>
    <row r="202" spans="1:12" ht="19.5" customHeight="1">
      <c r="A202" s="152" t="s">
        <v>590</v>
      </c>
      <c r="B202" s="171" t="s">
        <v>635</v>
      </c>
      <c r="C202" s="152" t="str">
        <f>VLOOKUP(Tabela134[[#This Row],[Espécie]],Tabela2[[#All],[Espécie]:[Categoria de risco]],2,FALSE)</f>
        <v>Gato-do-mato, Gato-maracajá, gato-maracajá-mirim, Pintadinho</v>
      </c>
      <c r="D202" s="152" t="str">
        <f>VLOOKUP(Tabela134[[#This Row],[Espécie]],Tabela2[[#All],[Espécie]:[Categoria de risco]],3,FALSE)</f>
        <v>Mamíferos</v>
      </c>
      <c r="E202" s="152" t="str">
        <f>VLOOKUP(Tabela134[[#This Row],[Espécie]],Tabela2[[#All],[Espécie]:[Categoria de risco]],4,FALSE)</f>
        <v>Em Perigo</v>
      </c>
      <c r="F202" s="172" t="s">
        <v>636</v>
      </c>
      <c r="G202" s="60" t="s">
        <v>634</v>
      </c>
      <c r="H202" s="152" t="str">
        <f>VLOOKUP(Tabela134[[#This Row],[UC]],Tabela6[[#All],[UC]:[UF]],2,FALSE)</f>
        <v>SC</v>
      </c>
      <c r="I202" s="230" t="s">
        <v>592</v>
      </c>
      <c r="J202" s="192" t="str">
        <f>IFERROR(VLOOKUP(Tabela134[[#This Row],[Espécie]],Tabela8[[#All],[Espécie]:[Nome fantasia]],4, FALSE), 0)</f>
        <v>Pequenos Felinos - 2º ciclo</v>
      </c>
      <c r="K202" s="165" t="s">
        <v>610</v>
      </c>
      <c r="L202" s="165" t="s">
        <v>592</v>
      </c>
    </row>
    <row r="203" spans="1:12" ht="19.5" customHeight="1">
      <c r="A203" s="152" t="s">
        <v>590</v>
      </c>
      <c r="B203" s="171" t="s">
        <v>635</v>
      </c>
      <c r="C203" s="152" t="str">
        <f>VLOOKUP(Tabela134[[#This Row],[Espécie]],Tabela2[[#All],[Espécie]:[Categoria de risco]],2,FALSE)</f>
        <v>Gato-do-mato, Gato-maracajá, gato-maracajá-mirim, Pintadinho</v>
      </c>
      <c r="D203" s="152" t="str">
        <f>VLOOKUP(Tabela134[[#This Row],[Espécie]],Tabela2[[#All],[Espécie]:[Categoria de risco]],3,FALSE)</f>
        <v>Mamíferos</v>
      </c>
      <c r="E203" s="152" t="str">
        <f>VLOOKUP(Tabela134[[#This Row],[Espécie]],Tabela2[[#All],[Espécie]:[Categoria de risco]],4,FALSE)</f>
        <v>Em Perigo</v>
      </c>
      <c r="F203" s="172" t="s">
        <v>636</v>
      </c>
      <c r="G203" s="60" t="s">
        <v>656</v>
      </c>
      <c r="H203" s="152" t="str">
        <f>VLOOKUP(Tabela134[[#This Row],[UC]],Tabela6[[#All],[UC]:[UF]],2,FALSE)</f>
        <v>RS</v>
      </c>
      <c r="I203" s="230" t="s">
        <v>592</v>
      </c>
      <c r="J203" s="192" t="str">
        <f>IFERROR(VLOOKUP(Tabela134[[#This Row],[Espécie]],Tabela8[[#All],[Espécie]:[Nome fantasia]],4, FALSE), 0)</f>
        <v>Pequenos Felinos - 2º ciclo</v>
      </c>
      <c r="K203" s="165" t="s">
        <v>610</v>
      </c>
      <c r="L203" s="165" t="s">
        <v>610</v>
      </c>
    </row>
    <row r="204" spans="1:12" ht="19.5" customHeight="1">
      <c r="A204" s="152" t="s">
        <v>590</v>
      </c>
      <c r="B204" s="171" t="s">
        <v>635</v>
      </c>
      <c r="C204" s="152" t="str">
        <f>VLOOKUP(Tabela134[[#This Row],[Espécie]],Tabela2[[#All],[Espécie]:[Categoria de risco]],2,FALSE)</f>
        <v>Gato-do-mato, Gato-maracajá, gato-maracajá-mirim, Pintadinho</v>
      </c>
      <c r="D204" s="152" t="str">
        <f>VLOOKUP(Tabela134[[#This Row],[Espécie]],Tabela2[[#All],[Espécie]:[Categoria de risco]],3,FALSE)</f>
        <v>Mamíferos</v>
      </c>
      <c r="E204" s="152" t="str">
        <f>VLOOKUP(Tabela134[[#This Row],[Espécie]],Tabela2[[#All],[Espécie]:[Categoria de risco]],4,FALSE)</f>
        <v>Em Perigo</v>
      </c>
      <c r="F204" s="172" t="s">
        <v>636</v>
      </c>
      <c r="G204" s="60" t="s">
        <v>670</v>
      </c>
      <c r="H204" s="152" t="str">
        <f>VLOOKUP(Tabela134[[#This Row],[UC]],Tabela6[[#All],[UC]:[UF]],2,FALSE)</f>
        <v>RS</v>
      </c>
      <c r="I204" s="230" t="s">
        <v>592</v>
      </c>
      <c r="J204" s="192" t="str">
        <f>IFERROR(VLOOKUP(Tabela134[[#This Row],[Espécie]],Tabela8[[#All],[Espécie]:[Nome fantasia]],4, FALSE), 0)</f>
        <v>Pequenos Felinos - 2º ciclo</v>
      </c>
      <c r="K204" s="165" t="s">
        <v>610</v>
      </c>
      <c r="L204" s="165" t="s">
        <v>610</v>
      </c>
    </row>
    <row r="205" spans="1:12" ht="19.5" customHeight="1">
      <c r="A205" s="152" t="s">
        <v>590</v>
      </c>
      <c r="B205" s="171" t="s">
        <v>635</v>
      </c>
      <c r="C205" s="152" t="str">
        <f>VLOOKUP(Tabela134[[#This Row],[Espécie]],Tabela2[[#All],[Espécie]:[Categoria de risco]],2,FALSE)</f>
        <v>Gato-do-mato, Gato-maracajá, gato-maracajá-mirim, Pintadinho</v>
      </c>
      <c r="D205" s="152" t="str">
        <f>VLOOKUP(Tabela134[[#This Row],[Espécie]],Tabela2[[#All],[Espécie]:[Categoria de risco]],3,FALSE)</f>
        <v>Mamíferos</v>
      </c>
      <c r="E205" s="152" t="str">
        <f>VLOOKUP(Tabela134[[#This Row],[Espécie]],Tabela2[[#All],[Espécie]:[Categoria de risco]],4,FALSE)</f>
        <v>Em Perigo</v>
      </c>
      <c r="F205" s="172" t="s">
        <v>636</v>
      </c>
      <c r="G205" s="60" t="s">
        <v>137</v>
      </c>
      <c r="H205" s="152" t="str">
        <f>VLOOKUP(Tabela134[[#This Row],[UC]],Tabela6[[#All],[UC]:[UF]],2,FALSE)</f>
        <v>SC</v>
      </c>
      <c r="I205" s="230" t="s">
        <v>592</v>
      </c>
      <c r="J205" s="192" t="str">
        <f>IFERROR(VLOOKUP(Tabela134[[#This Row],[Espécie]],Tabela8[[#All],[Espécie]:[Nome fantasia]],4, FALSE), 0)</f>
        <v>Pequenos Felinos - 2º ciclo</v>
      </c>
      <c r="K205" s="165" t="s">
        <v>592</v>
      </c>
      <c r="L205" s="165" t="s">
        <v>592</v>
      </c>
    </row>
    <row r="206" spans="1:12" ht="19.5" customHeight="1">
      <c r="A206" s="152" t="s">
        <v>590</v>
      </c>
      <c r="B206" s="171" t="s">
        <v>635</v>
      </c>
      <c r="C206" s="152" t="str">
        <f>VLOOKUP(Tabela134[[#This Row],[Espécie]],Tabela2[[#All],[Espécie]:[Categoria de risco]],2,FALSE)</f>
        <v>Gato-do-mato, Gato-maracajá, gato-maracajá-mirim, Pintadinho</v>
      </c>
      <c r="D206" s="152" t="str">
        <f>VLOOKUP(Tabela134[[#This Row],[Espécie]],Tabela2[[#All],[Espécie]:[Categoria de risco]],3,FALSE)</f>
        <v>Mamíferos</v>
      </c>
      <c r="E206" s="152" t="str">
        <f>VLOOKUP(Tabela134[[#This Row],[Espécie]],Tabela2[[#All],[Espécie]:[Categoria de risco]],4,FALSE)</f>
        <v>Em Perigo</v>
      </c>
      <c r="F206" s="172" t="s">
        <v>636</v>
      </c>
      <c r="G206" s="60" t="s">
        <v>692</v>
      </c>
      <c r="H206" s="152" t="str">
        <f>VLOOKUP(Tabela134[[#This Row],[UC]],Tabela6[[#All],[UC]:[UF]],2,FALSE)</f>
        <v>SC/RS</v>
      </c>
      <c r="I206" s="230" t="s">
        <v>592</v>
      </c>
      <c r="J206" s="192" t="str">
        <f>IFERROR(VLOOKUP(Tabela134[[#This Row],[Espécie]],Tabela8[[#All],[Espécie]:[Nome fantasia]],4, FALSE), 0)</f>
        <v>Pequenos Felinos - 2º ciclo</v>
      </c>
      <c r="K206" s="165" t="s">
        <v>610</v>
      </c>
      <c r="L206" s="165" t="s">
        <v>592</v>
      </c>
    </row>
    <row r="207" spans="1:12" ht="19.5" customHeight="1">
      <c r="A207" s="152" t="s">
        <v>590</v>
      </c>
      <c r="B207" s="171" t="s">
        <v>635</v>
      </c>
      <c r="C207" s="152" t="str">
        <f>VLOOKUP(Tabela134[[#This Row],[Espécie]],Tabela2[[#All],[Espécie]:[Categoria de risco]],2,FALSE)</f>
        <v>Gato-do-mato, Gato-maracajá, gato-maracajá-mirim, Pintadinho</v>
      </c>
      <c r="D207" s="152" t="str">
        <f>VLOOKUP(Tabela134[[#This Row],[Espécie]],Tabela2[[#All],[Espécie]:[Categoria de risco]],3,FALSE)</f>
        <v>Mamíferos</v>
      </c>
      <c r="E207" s="152" t="str">
        <f>VLOOKUP(Tabela134[[#This Row],[Espécie]],Tabela2[[#All],[Espécie]:[Categoria de risco]],4,FALSE)</f>
        <v>Em Perigo</v>
      </c>
      <c r="F207" s="172" t="s">
        <v>636</v>
      </c>
      <c r="G207" s="60" t="s">
        <v>715</v>
      </c>
      <c r="H207" s="152" t="str">
        <f>VLOOKUP(Tabela134[[#This Row],[UC]],Tabela6[[#All],[UC]:[UF]],2,FALSE)</f>
        <v>PR</v>
      </c>
      <c r="I207" s="230" t="s">
        <v>592</v>
      </c>
      <c r="J207" s="192" t="str">
        <f>IFERROR(VLOOKUP(Tabela134[[#This Row],[Espécie]],Tabela8[[#All],[Espécie]:[Nome fantasia]],4, FALSE), 0)</f>
        <v>Pequenos Felinos - 2º ciclo</v>
      </c>
      <c r="K207" s="165" t="s">
        <v>592</v>
      </c>
      <c r="L207" s="165" t="s">
        <v>592</v>
      </c>
    </row>
    <row r="208" spans="1:12" ht="19.5" customHeight="1">
      <c r="A208" s="152" t="s">
        <v>590</v>
      </c>
      <c r="B208" s="171" t="s">
        <v>690</v>
      </c>
      <c r="C208" s="152" t="str">
        <f>VLOOKUP(Tabela134[[#This Row],[Espécie]],Tabela2[[#All],[Espécie]:[Categoria de risco]],2,FALSE)</f>
        <v>Gato-do-mato, Gato-maracajá, Gato-peludo, Maracajá-peludo</v>
      </c>
      <c r="D208" s="152" t="str">
        <f>VLOOKUP(Tabela134[[#This Row],[Espécie]],Tabela2[[#All],[Espécie]:[Categoria de risco]],3,FALSE)</f>
        <v>Mamíferos</v>
      </c>
      <c r="E208" s="152" t="str">
        <f>VLOOKUP(Tabela134[[#This Row],[Espécie]],Tabela2[[#All],[Espécie]:[Categoria de risco]],4,FALSE)</f>
        <v>Vulnerável</v>
      </c>
      <c r="G208" s="60" t="s">
        <v>688</v>
      </c>
      <c r="H208" s="152" t="str">
        <f>VLOOKUP(Tabela134[[#This Row],[UC]],Tabela6[[#All],[UC]:[UF]],2,FALSE)</f>
        <v>SC</v>
      </c>
      <c r="I208" s="230" t="s">
        <v>592</v>
      </c>
      <c r="J208" s="192" t="str">
        <f>IFERROR(VLOOKUP(Tabela134[[#This Row],[Espécie]],Tabela8[[#All],[Espécie]:[Nome fantasia]],4, FALSE), 0)</f>
        <v>Pequenos Felinos - 2º ciclo</v>
      </c>
      <c r="K208" s="165" t="s">
        <v>610</v>
      </c>
      <c r="L208" s="165" t="s">
        <v>592</v>
      </c>
    </row>
    <row r="209" spans="1:12" ht="19.5" customHeight="1">
      <c r="A209" s="152" t="s">
        <v>590</v>
      </c>
      <c r="B209" s="171" t="s">
        <v>690</v>
      </c>
      <c r="C209" s="152" t="str">
        <f>VLOOKUP(Tabela134[[#This Row],[Espécie]],Tabela2[[#All],[Espécie]:[Categoria de risco]],2,FALSE)</f>
        <v>Gato-do-mato, Gato-maracajá, Gato-peludo, Maracajá-peludo</v>
      </c>
      <c r="D209" s="152" t="str">
        <f>VLOOKUP(Tabela134[[#This Row],[Espécie]],Tabela2[[#All],[Espécie]:[Categoria de risco]],3,FALSE)</f>
        <v>Mamíferos</v>
      </c>
      <c r="E209" s="152" t="str">
        <f>VLOOKUP(Tabela134[[#This Row],[Espécie]],Tabela2[[#All],[Espécie]:[Categoria de risco]],4,FALSE)</f>
        <v>Vulnerável</v>
      </c>
      <c r="G209" s="60" t="s">
        <v>692</v>
      </c>
      <c r="H209" s="152" t="str">
        <f>VLOOKUP(Tabela134[[#This Row],[UC]],Tabela6[[#All],[UC]:[UF]],2,FALSE)</f>
        <v>SC/RS</v>
      </c>
      <c r="I209" s="230" t="s">
        <v>592</v>
      </c>
      <c r="J209" s="192" t="str">
        <f>IFERROR(VLOOKUP(Tabela134[[#This Row],[Espécie]],Tabela8[[#All],[Espécie]:[Nome fantasia]],4, FALSE), 0)</f>
        <v>Pequenos Felinos - 2º ciclo</v>
      </c>
      <c r="K209" s="165" t="s">
        <v>610</v>
      </c>
      <c r="L209" s="165" t="s">
        <v>592</v>
      </c>
    </row>
    <row r="210" spans="1:12" ht="19.5" customHeight="1">
      <c r="A210" s="152" t="s">
        <v>590</v>
      </c>
      <c r="B210" s="171" t="s">
        <v>690</v>
      </c>
      <c r="C210" s="152" t="str">
        <f>VLOOKUP(Tabela134[[#This Row],[Espécie]],Tabela2[[#All],[Espécie]:[Categoria de risco]],2,FALSE)</f>
        <v>Gato-do-mato, Gato-maracajá, Gato-peludo, Maracajá-peludo</v>
      </c>
      <c r="D210" s="152" t="str">
        <f>VLOOKUP(Tabela134[[#This Row],[Espécie]],Tabela2[[#All],[Espécie]:[Categoria de risco]],3,FALSE)</f>
        <v>Mamíferos</v>
      </c>
      <c r="E210" s="152" t="str">
        <f>VLOOKUP(Tabela134[[#This Row],[Espécie]],Tabela2[[#All],[Espécie]:[Categoria de risco]],4,FALSE)</f>
        <v>Vulnerável</v>
      </c>
      <c r="G210" s="60" t="s">
        <v>726</v>
      </c>
      <c r="H210" s="152" t="str">
        <f>VLOOKUP(Tabela134[[#This Row],[UC]],Tabela6[[#All],[UC]:[UF]],2,FALSE)</f>
        <v>PR</v>
      </c>
      <c r="I210" s="230" t="s">
        <v>592</v>
      </c>
      <c r="J210" s="192" t="str">
        <f>IFERROR(VLOOKUP(Tabela134[[#This Row],[Espécie]],Tabela8[[#All],[Espécie]:[Nome fantasia]],4, FALSE), 0)</f>
        <v>Pequenos Felinos - 2º ciclo</v>
      </c>
      <c r="K210" s="165" t="s">
        <v>592</v>
      </c>
      <c r="L210" s="165" t="s">
        <v>592</v>
      </c>
    </row>
    <row r="211" spans="1:12" ht="19.5" customHeight="1">
      <c r="A211" s="152" t="s">
        <v>590</v>
      </c>
      <c r="B211" s="171" t="s">
        <v>738</v>
      </c>
      <c r="C211" s="152" t="str">
        <f>VLOOKUP(Tabela134[[#This Row],[Espécie]],Tabela2[[#All],[Espécie]:[Categoria de risco]],2,FALSE)</f>
        <v>Tartaruga comum, Tartaruga-oliva, Tartaruga pequena, Xibirro</v>
      </c>
      <c r="D211" s="152" t="str">
        <f>VLOOKUP(Tabela134[[#This Row],[Espécie]],Tabela2[[#All],[Espécie]:[Categoria de risco]],3,FALSE)</f>
        <v>Répteis</v>
      </c>
      <c r="E211" s="152" t="str">
        <f>VLOOKUP(Tabela134[[#This Row],[Espécie]],Tabela2[[#All],[Espécie]:[Categoria de risco]],4,FALSE)</f>
        <v>Vulnerável</v>
      </c>
      <c r="G211" s="60" t="s">
        <v>730</v>
      </c>
      <c r="H211" s="152" t="str">
        <f>VLOOKUP(Tabela134[[#This Row],[UC]],Tabela6[[#All],[UC]:[UF]],2,FALSE)</f>
        <v>SC</v>
      </c>
      <c r="I211" s="230" t="s">
        <v>592</v>
      </c>
      <c r="J211" s="192" t="str">
        <f>IFERROR(VLOOKUP(Tabela134[[#This Row],[Espécie]],Tabela8[[#All],[Espécie]:[Nome fantasia]],4, FALSE), 0)</f>
        <v>Tartarugas Marinhas - 3º ciclo</v>
      </c>
      <c r="K211" s="165" t="s">
        <v>592</v>
      </c>
      <c r="L211" s="165" t="s">
        <v>592</v>
      </c>
    </row>
    <row r="212" spans="1:12" ht="19.5" customHeight="1">
      <c r="A212" s="152" t="s">
        <v>590</v>
      </c>
      <c r="B212" s="171" t="s">
        <v>684</v>
      </c>
      <c r="C212" s="152" t="str">
        <f>VLOOKUP(Tabela134[[#This Row],[Espécie]],Tabela2[[#All],[Espécie]:[Categoria de risco]],2,FALSE)</f>
        <v>maçarico-de-costas-brancas</v>
      </c>
      <c r="D212" s="152" t="str">
        <f>VLOOKUP(Tabela134[[#This Row],[Espécie]],Tabela2[[#All],[Espécie]:[Categoria de risco]],3,FALSE)</f>
        <v>Aves</v>
      </c>
      <c r="E212" s="152" t="str">
        <f>VLOOKUP(Tabela134[[#This Row],[Espécie]],Tabela2[[#All],[Espécie]:[Categoria de risco]],4,FALSE)</f>
        <v>Em Perigo</v>
      </c>
      <c r="G212" s="60" t="s">
        <v>680</v>
      </c>
      <c r="H212" s="152" t="str">
        <f>VLOOKUP(Tabela134[[#This Row],[UC]],Tabela6[[#All],[UC]:[UF]],2,FALSE)</f>
        <v>RS</v>
      </c>
      <c r="I212" s="230" t="s">
        <v>592</v>
      </c>
      <c r="J212" s="192" t="str">
        <f>IFERROR(VLOOKUP(Tabela134[[#This Row],[Espécie]],Tabela8[[#All],[Espécie]:[Nome fantasia]],4, FALSE), 0)</f>
        <v>Aves Limícolas Migratórias - 2º ciclo</v>
      </c>
      <c r="K212" s="165" t="s">
        <v>610</v>
      </c>
      <c r="L212" s="165" t="s">
        <v>592</v>
      </c>
    </row>
    <row r="213" spans="1:12" ht="19.5" customHeight="1">
      <c r="A213" s="175" t="s">
        <v>2320</v>
      </c>
      <c r="B213" s="147" t="s">
        <v>1671</v>
      </c>
      <c r="C213" s="152" t="str">
        <f>VLOOKUP(Tabela134[[#This Row],[Espécie]],Tabela2[[#All],[Espécie]:[Categoria de risco]],2,FALSE)</f>
        <v>Lagartixa-da-praia</v>
      </c>
      <c r="D213" s="179" t="str">
        <f>VLOOKUP(Tabela134[[#This Row],[Espécie]],Tabela2[[#All],[Espécie]:[Categoria de risco]],3,FALSE)</f>
        <v>Répteis</v>
      </c>
      <c r="E213" s="152" t="str">
        <f>VLOOKUP(Tabela134[[#This Row],[Espécie]],Tabela2[[#All],[Espécie]:[Categoria de risco]],4,FALSE)</f>
        <v>Vulnerável</v>
      </c>
      <c r="F213" s="175" t="s">
        <v>2313</v>
      </c>
      <c r="G213" s="175" t="s">
        <v>91</v>
      </c>
      <c r="H213" s="152" t="str">
        <f>VLOOKUP(Tabela134[[#This Row],[UC]],Tabela6[[#All],[UC]:[UF]],2,FALSE)</f>
        <v>SC</v>
      </c>
      <c r="I213" s="230" t="s">
        <v>592</v>
      </c>
      <c r="J213" s="192" t="str">
        <f>IFERROR(VLOOKUP(Tabela134[[#This Row],[Espécie]],Tabela8[[#All],[Espécie]:[Nome fantasia]],4, FALSE), 0)</f>
        <v>Herpetofauna do Sul - 2º ciclo</v>
      </c>
      <c r="K213" s="165" t="s">
        <v>610</v>
      </c>
      <c r="L213" s="165" t="s">
        <v>610</v>
      </c>
    </row>
    <row r="214" spans="1:12" ht="19.5" customHeight="1">
      <c r="A214" s="175" t="s">
        <v>2320</v>
      </c>
      <c r="B214" s="147" t="s">
        <v>1671</v>
      </c>
      <c r="C214" s="152" t="str">
        <f>VLOOKUP(Tabela134[[#This Row],[Espécie]],Tabela2[[#All],[Espécie]:[Categoria de risco]],2,FALSE)</f>
        <v>Lagartixa-da-praia</v>
      </c>
      <c r="D214" s="179" t="str">
        <f>VLOOKUP(Tabela134[[#This Row],[Espécie]],Tabela2[[#All],[Espécie]:[Categoria de risco]],3,FALSE)</f>
        <v>Répteis</v>
      </c>
      <c r="E214" s="152" t="str">
        <f>VLOOKUP(Tabela134[[#This Row],[Espécie]],Tabela2[[#All],[Espécie]:[Categoria de risco]],4,FALSE)</f>
        <v>Vulnerável</v>
      </c>
      <c r="F214" s="175" t="s">
        <v>2313</v>
      </c>
      <c r="G214" s="175" t="s">
        <v>2314</v>
      </c>
      <c r="H214" s="152" t="str">
        <f>VLOOKUP(Tabela134[[#This Row],[UC]],Tabela6[[#All],[UC]:[UF]],2,FALSE)</f>
        <v>RS</v>
      </c>
      <c r="I214" s="230" t="s">
        <v>592</v>
      </c>
      <c r="J214" s="192" t="str">
        <f>IFERROR(VLOOKUP(Tabela134[[#This Row],[Espécie]],Tabela8[[#All],[Espécie]:[Nome fantasia]],4, FALSE), 0)</f>
        <v>Herpetofauna do Sul - 2º ciclo</v>
      </c>
      <c r="K214" s="165" t="s">
        <v>610</v>
      </c>
      <c r="L214" s="165" t="s">
        <v>610</v>
      </c>
    </row>
    <row r="215" spans="1:12" ht="19.5" customHeight="1">
      <c r="A215" s="175" t="s">
        <v>2320</v>
      </c>
      <c r="B215" s="147" t="s">
        <v>1671</v>
      </c>
      <c r="C215" s="152" t="str">
        <f>VLOOKUP(Tabela134[[#This Row],[Espécie]],Tabela2[[#All],[Espécie]:[Categoria de risco]],2,FALSE)</f>
        <v>Lagartixa-da-praia</v>
      </c>
      <c r="D215" s="179" t="str">
        <f>VLOOKUP(Tabela134[[#This Row],[Espécie]],Tabela2[[#All],[Espécie]:[Categoria de risco]],3,FALSE)</f>
        <v>Répteis</v>
      </c>
      <c r="E215" s="152" t="str">
        <f>VLOOKUP(Tabela134[[#This Row],[Espécie]],Tabela2[[#All],[Espécie]:[Categoria de risco]],4,FALSE)</f>
        <v>Vulnerável</v>
      </c>
      <c r="F215" s="175" t="s">
        <v>2313</v>
      </c>
      <c r="G215" s="175" t="s">
        <v>680</v>
      </c>
      <c r="H215" s="152" t="str">
        <f>VLOOKUP(Tabela134[[#This Row],[UC]],Tabela6[[#All],[UC]:[UF]],2,FALSE)</f>
        <v>RS</v>
      </c>
      <c r="I215" s="230" t="s">
        <v>592</v>
      </c>
      <c r="J215" s="192" t="str">
        <f>IFERROR(VLOOKUP(Tabela134[[#This Row],[Espécie]],Tabela8[[#All],[Espécie]:[Nome fantasia]],4, FALSE), 0)</f>
        <v>Herpetofauna do Sul - 2º ciclo</v>
      </c>
      <c r="K215" s="165" t="s">
        <v>610</v>
      </c>
      <c r="L215" s="165" t="s">
        <v>610</v>
      </c>
    </row>
    <row r="216" spans="1:12" ht="19.5" customHeight="1">
      <c r="A216" s="152" t="s">
        <v>590</v>
      </c>
      <c r="B216" s="173" t="s">
        <v>782</v>
      </c>
      <c r="C216" s="152" t="str">
        <f>VLOOKUP(Tabela134[[#This Row],[Espécie]],Tabela2[[#All],[Espécie]:[Categoria de risco]],2,FALSE)</f>
        <v>Foca-caranguejeira</v>
      </c>
      <c r="D216" s="152" t="str">
        <f>VLOOKUP(Tabela134[[#This Row],[Espécie]],Tabela2[[#All],[Espécie]:[Categoria de risco]],3,FALSE)</f>
        <v>Mamíferos</v>
      </c>
      <c r="E216" s="152" t="str">
        <f>VLOOKUP(Tabela134[[#This Row],[Espécie]],Tabela2[[#All],[Espécie]:[Categoria de risco]],4,FALSE)</f>
        <v>Não aplicável</v>
      </c>
      <c r="G216" s="60" t="s">
        <v>770</v>
      </c>
      <c r="H216" s="152" t="str">
        <f>VLOOKUP(Tabela134[[#This Row],[UC]],Tabela6[[#All],[UC]:[UF]],2,FALSE)</f>
        <v>RS</v>
      </c>
      <c r="I216" s="230" t="s">
        <v>610</v>
      </c>
      <c r="J216" s="192">
        <f>IFERROR(VLOOKUP(Tabela134[[#This Row],[Espécie]],Tabela8[[#All],[Espécie]:[Nome fantasia]],4, FALSE), 0)</f>
        <v>0</v>
      </c>
      <c r="K216" s="165" t="s">
        <v>592</v>
      </c>
      <c r="L216" s="165" t="s">
        <v>592</v>
      </c>
    </row>
    <row r="217" spans="1:12" ht="19.5" customHeight="1">
      <c r="A217" s="152" t="s">
        <v>590</v>
      </c>
      <c r="B217" s="171" t="s">
        <v>606</v>
      </c>
      <c r="C217" s="152" t="str">
        <f>VLOOKUP(Tabela134[[#This Row],[Espécie]],Tabela2[[#All],[Espécie]:[Categoria de risco]],2,FALSE)</f>
        <v>lobinho-de-rio, Lontra, lontra neotropical, lontrinha</v>
      </c>
      <c r="D217" s="152" t="str">
        <f>VLOOKUP(Tabela134[[#This Row],[Espécie]],Tabela2[[#All],[Espécie]:[Categoria de risco]],3,FALSE)</f>
        <v>Mamíferos</v>
      </c>
      <c r="E217" s="152" t="str">
        <f>VLOOKUP(Tabela134[[#This Row],[Espécie]],Tabela2[[#All],[Espécie]:[Categoria de risco]],4,FALSE)</f>
        <v>Menos preocupante</v>
      </c>
      <c r="G217" s="60" t="s">
        <v>602</v>
      </c>
      <c r="H217" s="152" t="str">
        <f>VLOOKUP(Tabela134[[#This Row],[UC]],Tabela6[[#All],[UC]:[UF]],2,FALSE)</f>
        <v>SP/PR/MS</v>
      </c>
      <c r="I217" s="230" t="s">
        <v>610</v>
      </c>
      <c r="J217" s="192">
        <f>IFERROR(VLOOKUP(Tabela134[[#This Row],[Espécie]],Tabela8[[#All],[Espécie]:[Nome fantasia]],4, FALSE), 0)</f>
        <v>0</v>
      </c>
      <c r="K217" s="165" t="s">
        <v>592</v>
      </c>
      <c r="L217" s="165" t="s">
        <v>592</v>
      </c>
    </row>
    <row r="218" spans="1:12" ht="19.5" customHeight="1">
      <c r="A218" s="152" t="s">
        <v>590</v>
      </c>
      <c r="B218" s="171" t="s">
        <v>734</v>
      </c>
      <c r="C218" s="152" t="str">
        <f>VLOOKUP(Tabela134[[#This Row],[Espécie]],Tabela2[[#All],[Espécie]:[Categoria de risco]],2,FALSE)</f>
        <v>estrela-do-mar</v>
      </c>
      <c r="D218" s="152" t="str">
        <f>VLOOKUP(Tabela134[[#This Row],[Espécie]],Tabela2[[#All],[Espécie]:[Categoria de risco]],3,FALSE)</f>
        <v>Invertebrados Marinhos</v>
      </c>
      <c r="E218" s="152" t="str">
        <f>VLOOKUP(Tabela134[[#This Row],[Espécie]],Tabela2[[#All],[Espécie]:[Categoria de risco]],4,FALSE)</f>
        <v>Vulnerável</v>
      </c>
      <c r="F218" s="172" t="s">
        <v>636</v>
      </c>
      <c r="G218" s="60" t="s">
        <v>730</v>
      </c>
      <c r="H218" s="152" t="str">
        <f>VLOOKUP(Tabela134[[#This Row],[UC]],Tabela6[[#All],[UC]:[UF]],2,FALSE)</f>
        <v>SC</v>
      </c>
      <c r="I218" s="230" t="s">
        <v>610</v>
      </c>
      <c r="J218" s="192">
        <f>IFERROR(VLOOKUP(Tabela134[[#This Row],[Espécie]],Tabela8[[#All],[Espécie]:[Nome fantasia]],4, FALSE), 0)</f>
        <v>0</v>
      </c>
      <c r="K218" s="165" t="s">
        <v>592</v>
      </c>
      <c r="L218" s="165" t="s">
        <v>592</v>
      </c>
    </row>
    <row r="219" spans="1:12" ht="19.5" customHeight="1">
      <c r="A219" s="152" t="s">
        <v>590</v>
      </c>
      <c r="B219" s="171" t="s">
        <v>744</v>
      </c>
      <c r="C219" s="152" t="str">
        <f>VLOOKUP(Tabela134[[#This Row],[Espécie]],Tabela2[[#All],[Espécie]:[Categoria de risco]],2,FALSE)</f>
        <v>Caranha, Caranha-do-fundo, Caranho, Vermelho-caranho</v>
      </c>
      <c r="D219" s="152" t="str">
        <f>VLOOKUP(Tabela134[[#This Row],[Espécie]],Tabela2[[#All],[Espécie]:[Categoria de risco]],3,FALSE)</f>
        <v>Peixes Marinhos (ósseos)</v>
      </c>
      <c r="E219" s="152" t="str">
        <f>VLOOKUP(Tabela134[[#This Row],[Espécie]],Tabela2[[#All],[Espécie]:[Categoria de risco]],4,FALSE)</f>
        <v>Vulnerável</v>
      </c>
      <c r="G219" s="60" t="s">
        <v>730</v>
      </c>
      <c r="H219" s="152" t="str">
        <f>VLOOKUP(Tabela134[[#This Row],[UC]],Tabela6[[#All],[UC]:[UF]],2,FALSE)</f>
        <v>SC</v>
      </c>
      <c r="I219" s="230" t="s">
        <v>610</v>
      </c>
      <c r="J219" s="192">
        <f>IFERROR(VLOOKUP(Tabela134[[#This Row],[Espécie]],Tabela8[[#All],[Espécie]:[Nome fantasia]],4, FALSE), 0)</f>
        <v>0</v>
      </c>
      <c r="K219" s="165" t="s">
        <v>592</v>
      </c>
      <c r="L219" s="165" t="s">
        <v>592</v>
      </c>
    </row>
    <row r="220" spans="1:12" ht="19.5" customHeight="1">
      <c r="A220" s="152" t="s">
        <v>590</v>
      </c>
      <c r="B220" s="173" t="s">
        <v>841</v>
      </c>
      <c r="C220" s="152" t="str">
        <f>VLOOKUP(Tabela134[[#This Row],[Espécie]],Tabela2[[#All],[Espécie]:[Categoria de risco]],2,FALSE)</f>
        <v>Manjubão</v>
      </c>
      <c r="D220" s="152" t="str">
        <f>VLOOKUP(Tabela134[[#This Row],[Espécie]],Tabela2[[#All],[Espécie]:[Categoria de risco]],3,FALSE)</f>
        <v>Peixes Marinhos (ósseos)</v>
      </c>
      <c r="E220" s="152" t="str">
        <f>VLOOKUP(Tabela134[[#This Row],[Espécie]],Tabela2[[#All],[Espécie]:[Categoria de risco]],4,FALSE)</f>
        <v>Menos preocupante</v>
      </c>
      <c r="G220" s="60" t="s">
        <v>770</v>
      </c>
      <c r="H220" s="152" t="str">
        <f>VLOOKUP(Tabela134[[#This Row],[UC]],Tabela6[[#All],[UC]:[UF]],2,FALSE)</f>
        <v>RS</v>
      </c>
      <c r="I220" s="230" t="s">
        <v>610</v>
      </c>
      <c r="J220" s="192">
        <f>IFERROR(VLOOKUP(Tabela134[[#This Row],[Espécie]],Tabela8[[#All],[Espécie]:[Nome fantasia]],4, FALSE), 0)</f>
        <v>0</v>
      </c>
      <c r="K220" s="165" t="s">
        <v>592</v>
      </c>
      <c r="L220" s="165" t="s">
        <v>592</v>
      </c>
    </row>
    <row r="221" spans="1:12" ht="19.5" customHeight="1">
      <c r="A221" s="152" t="s">
        <v>590</v>
      </c>
      <c r="B221" s="171" t="s">
        <v>735</v>
      </c>
      <c r="C221" s="152" t="str">
        <f>VLOOKUP(Tabela134[[#This Row],[Espécie]],Tabela2[[#All],[Espécie]:[Categoria de risco]],2,FALSE)</f>
        <v>ouriço-lilás</v>
      </c>
      <c r="D221" s="152" t="str">
        <f>VLOOKUP(Tabela134[[#This Row],[Espécie]],Tabela2[[#All],[Espécie]:[Categoria de risco]],3,FALSE)</f>
        <v>Invertebrados Marinhos</v>
      </c>
      <c r="E221" s="152" t="str">
        <f>VLOOKUP(Tabela134[[#This Row],[Espécie]],Tabela2[[#All],[Espécie]:[Categoria de risco]],4,FALSE)</f>
        <v>Vulnerável</v>
      </c>
      <c r="F221" s="172" t="s">
        <v>636</v>
      </c>
      <c r="G221" s="60" t="s">
        <v>730</v>
      </c>
      <c r="H221" s="152" t="str">
        <f>VLOOKUP(Tabela134[[#This Row],[UC]],Tabela6[[#All],[UC]:[UF]],2,FALSE)</f>
        <v>SC</v>
      </c>
      <c r="I221" s="230" t="s">
        <v>610</v>
      </c>
      <c r="J221" s="192">
        <f>IFERROR(VLOOKUP(Tabela134[[#This Row],[Espécie]],Tabela8[[#All],[Espécie]:[Nome fantasia]],4, FALSE), 0)</f>
        <v>0</v>
      </c>
      <c r="K221" s="165" t="s">
        <v>592</v>
      </c>
      <c r="L221" s="165" t="s">
        <v>592</v>
      </c>
    </row>
    <row r="222" spans="1:12" ht="19.5" customHeight="1">
      <c r="A222" s="152" t="s">
        <v>590</v>
      </c>
      <c r="B222" s="173" t="s">
        <v>824</v>
      </c>
      <c r="C222" s="152" t="str">
        <f>VLOOKUP(Tabela134[[#This Row],[Espécie]],Tabela2[[#All],[Espécie]:[Categoria de risco]],2,FALSE)</f>
        <v>aratã, arauja, corvina-mole, juruapara, pescada-dentuça, pescadinha, pescadinha-real</v>
      </c>
      <c r="D222" s="152" t="str">
        <f>VLOOKUP(Tabela134[[#This Row],[Espécie]],Tabela2[[#All],[Espécie]:[Categoria de risco]],3,FALSE)</f>
        <v>Peixes Marinhos (ósseos)</v>
      </c>
      <c r="E222" s="152" t="str">
        <f>VLOOKUP(Tabela134[[#This Row],[Espécie]],Tabela2[[#All],[Espécie]:[Categoria de risco]],4,FALSE)</f>
        <v>Menos preocupante</v>
      </c>
      <c r="F222" s="152" t="s">
        <v>695</v>
      </c>
      <c r="G222" s="60" t="s">
        <v>770</v>
      </c>
      <c r="H222" s="152" t="str">
        <f>VLOOKUP(Tabela134[[#This Row],[UC]],Tabela6[[#All],[UC]:[UF]],2,FALSE)</f>
        <v>RS</v>
      </c>
      <c r="I222" s="230" t="s">
        <v>610</v>
      </c>
      <c r="J222" s="192">
        <f>IFERROR(VLOOKUP(Tabela134[[#This Row],[Espécie]],Tabela8[[#All],[Espécie]:[Nome fantasia]],4, FALSE), 0)</f>
        <v>0</v>
      </c>
      <c r="K222" s="165" t="s">
        <v>592</v>
      </c>
      <c r="L222" s="165" t="s">
        <v>592</v>
      </c>
    </row>
    <row r="223" spans="1:12" ht="19.5" customHeight="1">
      <c r="A223" s="152" t="s">
        <v>590</v>
      </c>
      <c r="B223" s="173" t="s">
        <v>803</v>
      </c>
      <c r="C223" s="152" t="str">
        <f>VLOOKUP(Tabela134[[#This Row],[Espécie]],Tabela2[[#All],[Espécie]:[Categoria de risco]],2,FALSE)</f>
        <v>petrel-grande</v>
      </c>
      <c r="D223" s="152" t="str">
        <f>VLOOKUP(Tabela134[[#This Row],[Espécie]],Tabela2[[#All],[Espécie]:[Categoria de risco]],3,FALSE)</f>
        <v>Aves</v>
      </c>
      <c r="E223" s="152" t="str">
        <f>VLOOKUP(Tabela134[[#This Row],[Espécie]],Tabela2[[#All],[Espécie]:[Categoria de risco]],4,FALSE)</f>
        <v>Menos preocupante</v>
      </c>
      <c r="G223" s="60" t="s">
        <v>770</v>
      </c>
      <c r="H223" s="152" t="str">
        <f>VLOOKUP(Tabela134[[#This Row],[UC]],Tabela6[[#All],[UC]:[UF]],2,FALSE)</f>
        <v>RS</v>
      </c>
      <c r="I223" s="230" t="s">
        <v>610</v>
      </c>
      <c r="J223" s="192">
        <f>IFERROR(VLOOKUP(Tabela134[[#This Row],[Espécie]],Tabela8[[#All],[Espécie]:[Nome fantasia]],4, FALSE), 0)</f>
        <v>0</v>
      </c>
      <c r="K223" s="165" t="s">
        <v>592</v>
      </c>
      <c r="L223" s="165" t="s">
        <v>592</v>
      </c>
    </row>
    <row r="224" spans="1:12" ht="19.5" customHeight="1">
      <c r="A224" s="152" t="s">
        <v>622</v>
      </c>
      <c r="B224" s="171" t="s">
        <v>669</v>
      </c>
      <c r="C224" s="152" t="str">
        <f>VLOOKUP(Tabela134[[#This Row],[Espécie]],Tabela2[[#All],[Espécie]:[Categoria de risco]],2,FALSE)</f>
        <v>veado-mateiro</v>
      </c>
      <c r="D224" s="152" t="str">
        <f>VLOOKUP(Tabela134[[#This Row],[Espécie]],Tabela2[[#All],[Espécie]:[Categoria de risco]],3,FALSE)</f>
        <v>Mamíferos</v>
      </c>
      <c r="E224" s="152" t="str">
        <f>VLOOKUP(Tabela134[[#This Row],[Espécie]],Tabela2[[#All],[Espécie]:[Categoria de risco]],4,FALSE)</f>
        <v>Dados insuficientes</v>
      </c>
      <c r="G224" s="60" t="s">
        <v>668</v>
      </c>
      <c r="H224" s="152" t="str">
        <f>VLOOKUP(Tabela134[[#This Row],[UC]],Tabela6[[#All],[UC]:[UF]],2,FALSE)</f>
        <v>PR</v>
      </c>
      <c r="I224" s="230" t="s">
        <v>610</v>
      </c>
      <c r="J224" s="192">
        <f>IFERROR(VLOOKUP(Tabela134[[#This Row],[Espécie]],Tabela8[[#All],[Espécie]:[Nome fantasia]],4, FALSE), 0)</f>
        <v>0</v>
      </c>
      <c r="K224" s="165" t="s">
        <v>592</v>
      </c>
      <c r="L224" s="165" t="s">
        <v>592</v>
      </c>
    </row>
    <row r="225" spans="1:12" ht="19.5" customHeight="1">
      <c r="A225" s="152" t="s">
        <v>590</v>
      </c>
      <c r="B225" s="171" t="s">
        <v>641</v>
      </c>
      <c r="C225" s="152" t="str">
        <f>VLOOKUP(Tabela134[[#This Row],[Espécie]],Tabela2[[#All],[Espécie]:[Categoria de risco]],2,FALSE)</f>
        <v>Veado-bororó-do-sul, Veado-mão-curta</v>
      </c>
      <c r="D225" s="152" t="str">
        <f>VLOOKUP(Tabela134[[#This Row],[Espécie]],Tabela2[[#All],[Espécie]:[Categoria de risco]],3,FALSE)</f>
        <v>Mamíferos</v>
      </c>
      <c r="E225" s="152" t="str">
        <f>VLOOKUP(Tabela134[[#This Row],[Espécie]],Tabela2[[#All],[Espécie]:[Categoria de risco]],4,FALSE)</f>
        <v>Vulnerável</v>
      </c>
      <c r="G225" s="60" t="s">
        <v>634</v>
      </c>
      <c r="H225" s="152" t="str">
        <f>VLOOKUP(Tabela134[[#This Row],[UC]],Tabela6[[#All],[UC]:[UF]],2,FALSE)</f>
        <v>SC</v>
      </c>
      <c r="I225" s="230" t="s">
        <v>592</v>
      </c>
      <c r="J225" s="192" t="str">
        <f>IFERROR(VLOOKUP(Tabela134[[#This Row],[Espécie]],Tabela8[[#All],[Espécie]:[Nome fantasia]],4, FALSE), 0)</f>
        <v>Ungulados</v>
      </c>
      <c r="K225" s="165" t="s">
        <v>610</v>
      </c>
      <c r="L225" s="165" t="s">
        <v>592</v>
      </c>
    </row>
    <row r="226" spans="1:12" ht="19.5" customHeight="1">
      <c r="A226" s="152" t="s">
        <v>622</v>
      </c>
      <c r="B226" s="171" t="s">
        <v>641</v>
      </c>
      <c r="C226" s="152" t="str">
        <f>VLOOKUP(Tabela134[[#This Row],[Espécie]],Tabela2[[#All],[Espécie]:[Categoria de risco]],2,FALSE)</f>
        <v>Veado-bororó-do-sul, Veado-mão-curta</v>
      </c>
      <c r="D226" s="152" t="str">
        <f>VLOOKUP(Tabela134[[#This Row],[Espécie]],Tabela2[[#All],[Espécie]:[Categoria de risco]],3,FALSE)</f>
        <v>Mamíferos</v>
      </c>
      <c r="E226" s="152" t="str">
        <f>VLOOKUP(Tabela134[[#This Row],[Espécie]],Tabela2[[#All],[Espécie]:[Categoria de risco]],4,FALSE)</f>
        <v>Vulnerável</v>
      </c>
      <c r="G226" s="60" t="s">
        <v>665</v>
      </c>
      <c r="H226" s="152" t="str">
        <f>VLOOKUP(Tabela134[[#This Row],[UC]],Tabela6[[#All],[UC]:[UF]],2,FALSE)</f>
        <v>SC</v>
      </c>
      <c r="I226" s="230" t="s">
        <v>592</v>
      </c>
      <c r="J226" s="192" t="str">
        <f>IFERROR(VLOOKUP(Tabela134[[#This Row],[Espécie]],Tabela8[[#All],[Espécie]:[Nome fantasia]],4, FALSE), 0)</f>
        <v>Ungulados</v>
      </c>
      <c r="K226" s="165" t="s">
        <v>592</v>
      </c>
      <c r="L226" s="165" t="s">
        <v>592</v>
      </c>
    </row>
    <row r="227" spans="1:12" ht="19.5" customHeight="1">
      <c r="A227" s="152" t="s">
        <v>622</v>
      </c>
      <c r="B227" s="171" t="s">
        <v>641</v>
      </c>
      <c r="C227" s="152" t="str">
        <f>VLOOKUP(Tabela134[[#This Row],[Espécie]],Tabela2[[#All],[Espécie]:[Categoria de risco]],2,FALSE)</f>
        <v>Veado-bororó-do-sul, Veado-mão-curta</v>
      </c>
      <c r="D227" s="152" t="str">
        <f>VLOOKUP(Tabela134[[#This Row],[Espécie]],Tabela2[[#All],[Espécie]:[Categoria de risco]],3,FALSE)</f>
        <v>Mamíferos</v>
      </c>
      <c r="E227" s="152" t="str">
        <f>VLOOKUP(Tabela134[[#This Row],[Espécie]],Tabela2[[#All],[Espécie]:[Categoria de risco]],4,FALSE)</f>
        <v>Vulnerável</v>
      </c>
      <c r="G227" s="60" t="s">
        <v>722</v>
      </c>
      <c r="H227" s="152" t="str">
        <f>VLOOKUP(Tabela134[[#This Row],[UC]],Tabela6[[#All],[UC]:[UF]],2,FALSE)</f>
        <v>PR</v>
      </c>
      <c r="I227" s="230" t="s">
        <v>592</v>
      </c>
      <c r="J227" s="192" t="str">
        <f>IFERROR(VLOOKUP(Tabela134[[#This Row],[Espécie]],Tabela8[[#All],[Espécie]:[Nome fantasia]],4, FALSE), 0)</f>
        <v>Ungulados</v>
      </c>
      <c r="K227" s="165" t="s">
        <v>592</v>
      </c>
      <c r="L227" s="165" t="s">
        <v>592</v>
      </c>
    </row>
    <row r="228" spans="1:12" ht="19.5" customHeight="1">
      <c r="A228" s="152" t="s">
        <v>590</v>
      </c>
      <c r="B228" s="173" t="s">
        <v>785</v>
      </c>
      <c r="C228" s="152" t="str">
        <f>VLOOKUP(Tabela134[[#This Row],[Espécie]],Tabela2[[#All],[Espécie]:[Categoria de risco]],2,FALSE)</f>
        <v>Baleia corcunda, Baleia de bossa, Baleia de corcova, Baleia Jubarte, Baleia preta</v>
      </c>
      <c r="D228" s="152" t="str">
        <f>VLOOKUP(Tabela134[[#This Row],[Espécie]],Tabela2[[#All],[Espécie]:[Categoria de risco]],3,FALSE)</f>
        <v>Mamíferos</v>
      </c>
      <c r="E228" s="152" t="str">
        <f>VLOOKUP(Tabela134[[#This Row],[Espécie]],Tabela2[[#All],[Espécie]:[Categoria de risco]],4,FALSE)</f>
        <v>Quase ameaçada</v>
      </c>
      <c r="G228" s="60" t="s">
        <v>770</v>
      </c>
      <c r="H228" s="152" t="str">
        <f>VLOOKUP(Tabela134[[#This Row],[UC]],Tabela6[[#All],[UC]:[UF]],2,FALSE)</f>
        <v>RS</v>
      </c>
      <c r="I228" s="230" t="s">
        <v>592</v>
      </c>
      <c r="J228" s="192" t="str">
        <f>IFERROR(VLOOKUP(Tabela134[[#This Row],[Espécie]],Tabela8[[#All],[Espécie]:[Nome fantasia]],4, FALSE), 0)</f>
        <v>Cetáceos Marinhos</v>
      </c>
      <c r="K228" s="165" t="s">
        <v>592</v>
      </c>
      <c r="L228" s="165" t="s">
        <v>592</v>
      </c>
    </row>
    <row r="229" spans="1:12" ht="19.5" customHeight="1">
      <c r="A229" s="175" t="s">
        <v>2320</v>
      </c>
      <c r="B229" s="147" t="s">
        <v>1673</v>
      </c>
      <c r="C229" s="152" t="str">
        <f>VLOOKUP(Tabela134[[#This Row],[Espécie]],Tabela2[[#All],[Espécie]:[Categoria de risco]],2,FALSE)</f>
        <v>Sapinho-mão-vermelha-de-Cambará, Sapinho-verde, Sapinho-verde-de-barriga-vermelha</v>
      </c>
      <c r="D229" s="179" t="str">
        <f>VLOOKUP(Tabela134[[#This Row],[Espécie]],Tabela2[[#All],[Espécie]:[Categoria de risco]],3,FALSE)</f>
        <v>Anfíbios</v>
      </c>
      <c r="E229" s="152" t="str">
        <f>VLOOKUP(Tabela134[[#This Row],[Espécie]],Tabela2[[#All],[Espécie]:[Categoria de risco]],4,FALSE)</f>
        <v>Em Perigo</v>
      </c>
      <c r="F229" s="175" t="s">
        <v>2313</v>
      </c>
      <c r="G229" s="174" t="s">
        <v>670</v>
      </c>
      <c r="H229" s="152" t="str">
        <f>VLOOKUP(Tabela134[[#This Row],[UC]],Tabela6[[#All],[UC]:[UF]],2,FALSE)</f>
        <v>RS</v>
      </c>
      <c r="I229" s="230" t="s">
        <v>592</v>
      </c>
      <c r="J229" s="192" t="str">
        <f>IFERROR(VLOOKUP(Tabela134[[#This Row],[Espécie]],Tabela8[[#All],[Espécie]:[Nome fantasia]],4, FALSE), 0)</f>
        <v>Herpetofauna do Sul - 2º ciclo</v>
      </c>
      <c r="K229" s="165" t="s">
        <v>610</v>
      </c>
      <c r="L229" s="165" t="s">
        <v>610</v>
      </c>
    </row>
    <row r="230" spans="1:12" ht="19.5" customHeight="1">
      <c r="A230" s="175" t="s">
        <v>2320</v>
      </c>
      <c r="B230" s="147" t="s">
        <v>1673</v>
      </c>
      <c r="C230" s="152" t="str">
        <f>VLOOKUP(Tabela134[[#This Row],[Espécie]],Tabela2[[#All],[Espécie]:[Categoria de risco]],2,FALSE)</f>
        <v>Sapinho-mão-vermelha-de-Cambará, Sapinho-verde, Sapinho-verde-de-barriga-vermelha</v>
      </c>
      <c r="D230" s="179" t="str">
        <f>VLOOKUP(Tabela134[[#This Row],[Espécie]],Tabela2[[#All],[Espécie]:[Categoria de risco]],3,FALSE)</f>
        <v>Anfíbios</v>
      </c>
      <c r="E230" s="152" t="str">
        <f>VLOOKUP(Tabela134[[#This Row],[Espécie]],Tabela2[[#All],[Espécie]:[Categoria de risco]],4,FALSE)</f>
        <v>Em Perigo</v>
      </c>
      <c r="F230" s="175" t="s">
        <v>2313</v>
      </c>
      <c r="G230" s="174" t="s">
        <v>692</v>
      </c>
      <c r="H230" s="152" t="str">
        <f>VLOOKUP(Tabela134[[#This Row],[UC]],Tabela6[[#All],[UC]:[UF]],2,FALSE)</f>
        <v>SC/RS</v>
      </c>
      <c r="I230" s="230" t="s">
        <v>592</v>
      </c>
      <c r="J230" s="192" t="str">
        <f>IFERROR(VLOOKUP(Tabela134[[#This Row],[Espécie]],Tabela8[[#All],[Espécie]:[Nome fantasia]],4, FALSE), 0)</f>
        <v>Herpetofauna do Sul - 2º ciclo</v>
      </c>
      <c r="K230" s="165" t="s">
        <v>610</v>
      </c>
      <c r="L230" s="165" t="s">
        <v>610</v>
      </c>
    </row>
    <row r="231" spans="1:12" ht="19.5" customHeight="1">
      <c r="A231" s="175" t="s">
        <v>2320</v>
      </c>
      <c r="B231" s="147" t="s">
        <v>1674</v>
      </c>
      <c r="C231" s="152" t="str">
        <f>VLOOKUP(Tabela134[[#This Row],[Espécie]],Tabela2[[#All],[Espécie]:[Categoria de risco]],2,FALSE)</f>
        <v>Sapinho-da-barriga-colorida, Sapinho-da-barriga-vermelha, Sapinho-mão-vermelha-da-restinga</v>
      </c>
      <c r="D231" s="179" t="str">
        <f>VLOOKUP(Tabela134[[#This Row],[Espécie]],Tabela2[[#All],[Espécie]:[Categoria de risco]],3,FALSE)</f>
        <v>Anfíbios</v>
      </c>
      <c r="E231" s="152" t="str">
        <f>VLOOKUP(Tabela134[[#This Row],[Espécie]],Tabela2[[#All],[Espécie]:[Categoria de risco]],4,FALSE)</f>
        <v>Vulnerável</v>
      </c>
      <c r="F231" s="175" t="s">
        <v>2313</v>
      </c>
      <c r="G231" s="174" t="s">
        <v>91</v>
      </c>
      <c r="H231" s="152" t="str">
        <f>VLOOKUP(Tabela134[[#This Row],[UC]],Tabela6[[#All],[UC]:[UF]],2,FALSE)</f>
        <v>SC</v>
      </c>
      <c r="I231" s="230" t="s">
        <v>592</v>
      </c>
      <c r="J231" s="192" t="str">
        <f>IFERROR(VLOOKUP(Tabela134[[#This Row],[Espécie]],Tabela8[[#All],[Espécie]:[Nome fantasia]],4, FALSE), 0)</f>
        <v>Herpetofauna do Sul - 2º ciclo</v>
      </c>
      <c r="K231" s="165" t="s">
        <v>610</v>
      </c>
      <c r="L231" s="165" t="s">
        <v>610</v>
      </c>
    </row>
    <row r="232" spans="1:12" ht="19.5" customHeight="1">
      <c r="A232" s="152" t="s">
        <v>590</v>
      </c>
      <c r="B232" s="169" t="s">
        <v>694</v>
      </c>
      <c r="C232" s="152" t="str">
        <f>VLOOKUP(Tabela134[[#This Row],[Espécie]],Tabela2[[#All],[Espécie]:[Categoria de risco]],2,FALSE)</f>
        <v>Sapinho-da-barriga-colorida, Sapinho-mão-vermelha-de-Torres, Sapinho-narigudo-de-barriga-vermelha</v>
      </c>
      <c r="D232" s="152" t="str">
        <f>VLOOKUP(Tabela134[[#This Row],[Espécie]],Tabela2[[#All],[Espécie]:[Categoria de risco]],3,FALSE)</f>
        <v>Anfíbios</v>
      </c>
      <c r="E232" s="152" t="str">
        <f>VLOOKUP(Tabela134[[#This Row],[Espécie]],Tabela2[[#All],[Espécie]:[Categoria de risco]],4,FALSE)</f>
        <v>Em Perigo</v>
      </c>
      <c r="F232" s="152" t="s">
        <v>695</v>
      </c>
      <c r="G232" s="60" t="s">
        <v>692</v>
      </c>
      <c r="H232" s="152" t="str">
        <f>VLOOKUP(Tabela134[[#This Row],[UC]],Tabela6[[#All],[UC]:[UF]],2,FALSE)</f>
        <v>SC/RS</v>
      </c>
      <c r="I232" s="230" t="s">
        <v>592</v>
      </c>
      <c r="J232" s="192" t="str">
        <f>IFERROR(VLOOKUP(Tabela134[[#This Row],[Espécie]],Tabela8[[#All],[Espécie]:[Nome fantasia]],4, FALSE), 0)</f>
        <v>Herpetofauna do Sul - 2º ciclo</v>
      </c>
      <c r="K232" s="165" t="s">
        <v>610</v>
      </c>
      <c r="L232" s="165" t="s">
        <v>592</v>
      </c>
    </row>
    <row r="233" spans="1:12" ht="19.5" customHeight="1">
      <c r="A233" s="152" t="s">
        <v>590</v>
      </c>
      <c r="B233" s="173" t="s">
        <v>818</v>
      </c>
      <c r="C233" s="152" t="str">
        <f>VLOOKUP(Tabela134[[#This Row],[Espécie]],Tabela2[[#All],[Espécie]:[Categoria de risco]],2,FALSE)</f>
        <v>betara-branca, betara-claro, papa-terra</v>
      </c>
      <c r="D233" s="152" t="str">
        <f>VLOOKUP(Tabela134[[#This Row],[Espécie]],Tabela2[[#All],[Espécie]:[Categoria de risco]],3,FALSE)</f>
        <v>Peixes Marinhos (ósseos)</v>
      </c>
      <c r="E233" s="152" t="str">
        <f>VLOOKUP(Tabela134[[#This Row],[Espécie]],Tabela2[[#All],[Espécie]:[Categoria de risco]],4,FALSE)</f>
        <v>Menos preocupante</v>
      </c>
      <c r="F233" s="152" t="s">
        <v>819</v>
      </c>
      <c r="G233" s="60" t="s">
        <v>770</v>
      </c>
      <c r="H233" s="152" t="str">
        <f>VLOOKUP(Tabela134[[#This Row],[UC]],Tabela6[[#All],[UC]:[UF]],2,FALSE)</f>
        <v>RS</v>
      </c>
      <c r="I233" s="230" t="s">
        <v>610</v>
      </c>
      <c r="J233" s="192">
        <f>IFERROR(VLOOKUP(Tabela134[[#This Row],[Espécie]],Tabela8[[#All],[Espécie]:[Nome fantasia]],4, FALSE), 0)</f>
        <v>0</v>
      </c>
      <c r="K233" s="165" t="s">
        <v>592</v>
      </c>
      <c r="L233" s="165" t="s">
        <v>592</v>
      </c>
    </row>
    <row r="234" spans="1:12" ht="19.5" customHeight="1">
      <c r="A234" s="152" t="s">
        <v>590</v>
      </c>
      <c r="B234" s="173" t="s">
        <v>820</v>
      </c>
      <c r="C234" s="152" t="str">
        <f>VLOOKUP(Tabela134[[#This Row],[Espécie]],Tabela2[[#All],[Espécie]:[Categoria de risco]],2,FALSE)</f>
        <v>betara, betara-escuro, betara-preta, papa-terra</v>
      </c>
      <c r="D234" s="152" t="str">
        <f>VLOOKUP(Tabela134[[#This Row],[Espécie]],Tabela2[[#All],[Espécie]:[Categoria de risco]],3,FALSE)</f>
        <v>Peixes Marinhos (ósseos)</v>
      </c>
      <c r="E234" s="152" t="str">
        <f>VLOOKUP(Tabela134[[#This Row],[Espécie]],Tabela2[[#All],[Espécie]:[Categoria de risco]],4,FALSE)</f>
        <v>Menos preocupante</v>
      </c>
      <c r="F234" s="152" t="s">
        <v>821</v>
      </c>
      <c r="G234" s="60" t="s">
        <v>770</v>
      </c>
      <c r="H234" s="152" t="str">
        <f>VLOOKUP(Tabela134[[#This Row],[UC]],Tabela6[[#All],[UC]:[UF]],2,FALSE)</f>
        <v>RS</v>
      </c>
      <c r="I234" s="230" t="s">
        <v>610</v>
      </c>
      <c r="J234" s="192">
        <f>IFERROR(VLOOKUP(Tabela134[[#This Row],[Espécie]],Tabela8[[#All],[Espécie]:[Nome fantasia]],4, FALSE), 0)</f>
        <v>0</v>
      </c>
      <c r="K234" s="165" t="s">
        <v>592</v>
      </c>
      <c r="L234" s="165" t="s">
        <v>592</v>
      </c>
    </row>
    <row r="235" spans="1:12" ht="19.5" customHeight="1">
      <c r="A235" s="152" t="s">
        <v>590</v>
      </c>
      <c r="B235" s="173" t="s">
        <v>853</v>
      </c>
      <c r="C235" s="152" t="str">
        <f>VLOOKUP(Tabela134[[#This Row],[Espécie]],Tabela2[[#All],[Espécie]:[Categoria de risco]],2,FALSE)</f>
        <v>peixe-cachimbo-estrela, Peixe-rei-agulha,</v>
      </c>
      <c r="D235" s="152" t="str">
        <f>VLOOKUP(Tabela134[[#This Row],[Espécie]],Tabela2[[#All],[Espécie]:[Categoria de risco]],3,FALSE)</f>
        <v>Peixes Marinhos (ósseos)</v>
      </c>
      <c r="E235" s="152" t="str">
        <f>VLOOKUP(Tabela134[[#This Row],[Espécie]],Tabela2[[#All],[Espécie]:[Categoria de risco]],4,FALSE)</f>
        <v>Menos preocupante</v>
      </c>
      <c r="F235" s="174" t="s">
        <v>2255</v>
      </c>
      <c r="G235" s="60" t="s">
        <v>770</v>
      </c>
      <c r="H235" s="152" t="str">
        <f>VLOOKUP(Tabela134[[#This Row],[UC]],Tabela6[[#All],[UC]:[UF]],2,FALSE)</f>
        <v>RS</v>
      </c>
      <c r="I235" s="230" t="s">
        <v>610</v>
      </c>
      <c r="J235" s="192">
        <f>IFERROR(VLOOKUP(Tabela134[[#This Row],[Espécie]],Tabela8[[#All],[Espécie]:[Nome fantasia]],4, FALSE), 0)</f>
        <v>0</v>
      </c>
      <c r="K235" s="165" t="s">
        <v>592</v>
      </c>
      <c r="L235" s="165" t="s">
        <v>592</v>
      </c>
    </row>
    <row r="236" spans="1:12" ht="19.5" customHeight="1">
      <c r="A236" s="152" t="s">
        <v>590</v>
      </c>
      <c r="B236" s="173" t="s">
        <v>815</v>
      </c>
      <c r="C236" s="152" t="str">
        <f>VLOOKUP(Tabela134[[#This Row],[Espécie]],Tabela2[[#All],[Espécie]:[Categoria de risco]],2,FALSE)</f>
        <v>cascudo, corvina</v>
      </c>
      <c r="D236" s="152" t="str">
        <f>VLOOKUP(Tabela134[[#This Row],[Espécie]],Tabela2[[#All],[Espécie]:[Categoria de risco]],3,FALSE)</f>
        <v>Peixes Marinhos (ósseos)</v>
      </c>
      <c r="E236" s="152" t="str">
        <f>VLOOKUP(Tabela134[[#This Row],[Espécie]],Tabela2[[#All],[Espécie]:[Categoria de risco]],4,FALSE)</f>
        <v>Menos preocupante</v>
      </c>
      <c r="F236" s="152" t="s">
        <v>809</v>
      </c>
      <c r="G236" s="60" t="s">
        <v>770</v>
      </c>
      <c r="H236" s="152" t="str">
        <f>VLOOKUP(Tabela134[[#This Row],[UC]],Tabela6[[#All],[UC]:[UF]],2,FALSE)</f>
        <v>RS</v>
      </c>
      <c r="I236" s="230" t="s">
        <v>610</v>
      </c>
      <c r="J236" s="192">
        <f>IFERROR(VLOOKUP(Tabela134[[#This Row],[Espécie]],Tabela8[[#All],[Espécie]:[Nome fantasia]],4, FALSE), 0)</f>
        <v>0</v>
      </c>
      <c r="K236" s="165" t="s">
        <v>592</v>
      </c>
      <c r="L236" s="165" t="s">
        <v>592</v>
      </c>
    </row>
    <row r="237" spans="1:12" ht="19.5" customHeight="1">
      <c r="A237" s="175" t="s">
        <v>2320</v>
      </c>
      <c r="B237" s="147" t="s">
        <v>1425</v>
      </c>
      <c r="C237" s="152" t="str">
        <f>VLOOKUP(Tabela134[[#This Row],[Espécie]],Tabela2[[#All],[Espécie]:[Categoria de risco]],2,FALSE)</f>
        <v>Lambari-azul-listrado</v>
      </c>
      <c r="D237" s="179" t="str">
        <f>VLOOKUP(Tabela134[[#This Row],[Espécie]],Tabela2[[#All],[Espécie]:[Categoria de risco]],3,FALSE)</f>
        <v>Peixes Continentais</v>
      </c>
      <c r="E237" s="152" t="str">
        <f>VLOOKUP(Tabela134[[#This Row],[Espécie]],Tabela2[[#All],[Espécie]:[Categoria de risco]],4,FALSE)</f>
        <v>Vulnerável</v>
      </c>
      <c r="F237" s="175" t="s">
        <v>2313</v>
      </c>
      <c r="G237" s="174" t="s">
        <v>613</v>
      </c>
      <c r="H237" s="152" t="str">
        <f>VLOOKUP(Tabela134[[#This Row],[UC]],Tabela6[[#All],[UC]:[UF]],2,FALSE)</f>
        <v>SP/PR</v>
      </c>
      <c r="I237" s="230" t="s">
        <v>592</v>
      </c>
      <c r="J237" s="192" t="str">
        <f>IFERROR(VLOOKUP(Tabela134[[#This Row],[Espécie]],Tabela8[[#All],[Espécie]:[Nome fantasia]],4, FALSE), 0)</f>
        <v>Peixes e Eglas da Mata Atlântica</v>
      </c>
      <c r="K237" s="165" t="s">
        <v>610</v>
      </c>
      <c r="L237" s="165" t="s">
        <v>610</v>
      </c>
    </row>
    <row r="238" spans="1:12" ht="19.5" customHeight="1">
      <c r="A238" s="152" t="s">
        <v>590</v>
      </c>
      <c r="B238" s="171" t="s">
        <v>693</v>
      </c>
      <c r="C238" s="152" t="str">
        <f>VLOOKUP(Tabela134[[#This Row],[Espécie]],Tabela2[[#All],[Espécie]:[Categoria de risco]],2,FALSE)</f>
        <v>Lambari-azul</v>
      </c>
      <c r="D238" s="152" t="str">
        <f>VLOOKUP(Tabela134[[#This Row],[Espécie]],Tabela2[[#All],[Espécie]:[Categoria de risco]],3,FALSE)</f>
        <v>Peixes Continentais</v>
      </c>
      <c r="E238" s="152" t="str">
        <f>VLOOKUP(Tabela134[[#This Row],[Espécie]],Tabela2[[#All],[Espécie]:[Categoria de risco]],4,FALSE)</f>
        <v>Quase ameaçada</v>
      </c>
      <c r="G238" s="60" t="s">
        <v>692</v>
      </c>
      <c r="H238" s="152" t="str">
        <f>VLOOKUP(Tabela134[[#This Row],[UC]],Tabela6[[#All],[UC]:[UF]],2,FALSE)</f>
        <v>SC/RS</v>
      </c>
      <c r="I238" s="230" t="s">
        <v>610</v>
      </c>
      <c r="J238" s="192">
        <f>IFERROR(VLOOKUP(Tabela134[[#This Row],[Espécie]],Tabela8[[#All],[Espécie]:[Nome fantasia]],4, FALSE), 0)</f>
        <v>0</v>
      </c>
      <c r="K238" s="165" t="s">
        <v>610</v>
      </c>
      <c r="L238" s="165" t="s">
        <v>592</v>
      </c>
    </row>
    <row r="239" spans="1:12" ht="19.5" customHeight="1">
      <c r="A239" s="152" t="s">
        <v>590</v>
      </c>
      <c r="B239" s="171" t="s">
        <v>693</v>
      </c>
      <c r="C239" s="152" t="str">
        <f>VLOOKUP(Tabela134[[#This Row],[Espécie]],Tabela2[[#All],[Espécie]:[Categoria de risco]],2,FALSE)</f>
        <v>Lambari-azul</v>
      </c>
      <c r="D239" s="152" t="str">
        <f>VLOOKUP(Tabela134[[#This Row],[Espécie]],Tabela2[[#All],[Espécie]:[Categoria de risco]],3,FALSE)</f>
        <v>Peixes Continentais</v>
      </c>
      <c r="E239" s="152" t="str">
        <f>VLOOKUP(Tabela134[[#This Row],[Espécie]],Tabela2[[#All],[Espécie]:[Categoria de risco]],4,FALSE)</f>
        <v>Quase ameaçada</v>
      </c>
      <c r="G239" s="60" t="s">
        <v>700</v>
      </c>
      <c r="H239" s="152" t="str">
        <f>VLOOKUP(Tabela134[[#This Row],[UC]],Tabela6[[#All],[UC]:[UF]],2,FALSE)</f>
        <v>SC/RS</v>
      </c>
      <c r="I239" s="230" t="s">
        <v>610</v>
      </c>
      <c r="J239" s="192">
        <f>IFERROR(VLOOKUP(Tabela134[[#This Row],[Espécie]],Tabela8[[#All],[Espécie]:[Nome fantasia]],4, FALSE), 0)</f>
        <v>0</v>
      </c>
      <c r="K239" s="165" t="s">
        <v>610</v>
      </c>
      <c r="L239" s="165" t="s">
        <v>592</v>
      </c>
    </row>
    <row r="240" spans="1:12" ht="19.5" customHeight="1">
      <c r="A240" s="152" t="s">
        <v>590</v>
      </c>
      <c r="B240" s="173" t="s">
        <v>781</v>
      </c>
      <c r="C240" s="152" t="str">
        <f>VLOOKUP(Tabela134[[#This Row],[Espécie]],Tabela2[[#All],[Espécie]:[Categoria de risco]],2,FALSE)</f>
        <v>Elefante-marinho-do-sul</v>
      </c>
      <c r="D240" s="152" t="str">
        <f>VLOOKUP(Tabela134[[#This Row],[Espécie]],Tabela2[[#All],[Espécie]:[Categoria de risco]],3,FALSE)</f>
        <v>Mamíferos</v>
      </c>
      <c r="E240" s="152" t="str">
        <f>VLOOKUP(Tabela134[[#This Row],[Espécie]],Tabela2[[#All],[Espécie]:[Categoria de risco]],4,FALSE)</f>
        <v>Não aplicável</v>
      </c>
      <c r="G240" s="60" t="s">
        <v>770</v>
      </c>
      <c r="H240" s="152" t="str">
        <f>VLOOKUP(Tabela134[[#This Row],[UC]],Tabela6[[#All],[UC]:[UF]],2,FALSE)</f>
        <v>RS</v>
      </c>
      <c r="I240" s="230" t="s">
        <v>610</v>
      </c>
      <c r="J240" s="192">
        <f>IFERROR(VLOOKUP(Tabela134[[#This Row],[Espécie]],Tabela8[[#All],[Espécie]:[Nome fantasia]],4, FALSE), 0)</f>
        <v>0</v>
      </c>
      <c r="K240" s="165" t="s">
        <v>592</v>
      </c>
      <c r="L240" s="165" t="s">
        <v>592</v>
      </c>
    </row>
    <row r="241" spans="1:12" ht="19.5" customHeight="1">
      <c r="A241" s="175" t="s">
        <v>2320</v>
      </c>
      <c r="B241" s="147" t="s">
        <v>1795</v>
      </c>
      <c r="C241" s="152" t="str">
        <f>VLOOKUP(Tabela134[[#This Row],[Espécie]],Tabela2[[#All],[Espécie]:[Categoria de risco]],2,FALSE)</f>
        <v>boca-de-gaveta, raia-jamanta, raia-manta</v>
      </c>
      <c r="D241" s="179" t="str">
        <f>VLOOKUP(Tabela134[[#This Row],[Espécie]],Tabela2[[#All],[Espécie]:[Categoria de risco]],3,FALSE)</f>
        <v>Tubarões e Raias</v>
      </c>
      <c r="E241" s="152" t="str">
        <f>VLOOKUP(Tabela134[[#This Row],[Espécie]],Tabela2[[#All],[Espécie]:[Categoria de risco]],4,FALSE)</f>
        <v>Vulnerável</v>
      </c>
      <c r="F241" s="175" t="s">
        <v>2313</v>
      </c>
      <c r="G241" s="174" t="s">
        <v>613</v>
      </c>
      <c r="H241" s="152" t="str">
        <f>VLOOKUP(Tabela134[[#This Row],[UC]],Tabela6[[#All],[UC]:[UF]],2,FALSE)</f>
        <v>SP/PR</v>
      </c>
      <c r="I241" s="230" t="s">
        <v>592</v>
      </c>
      <c r="J241" s="192" t="str">
        <f>IFERROR(VLOOKUP(Tabela134[[#This Row],[Espécie]],Tabela8[[#All],[Espécie]:[Nome fantasia]],4, FALSE), 0)</f>
        <v xml:space="preserve">Tubarões - 2º ciclo </v>
      </c>
      <c r="K241" s="165" t="s">
        <v>610</v>
      </c>
      <c r="L241" s="165" t="s">
        <v>610</v>
      </c>
    </row>
    <row r="242" spans="1:12" ht="19.5" customHeight="1">
      <c r="A242" s="152" t="s">
        <v>622</v>
      </c>
      <c r="B242" s="171" t="s">
        <v>702</v>
      </c>
      <c r="C242" s="152" t="str">
        <f>VLOOKUP(Tabela134[[#This Row],[Espécie]],Tabela2[[#All],[Espécie]:[Categoria de risco]],2,FALSE)</f>
        <v>abelha-de-solo</v>
      </c>
      <c r="D242" s="152" t="str">
        <f>VLOOKUP(Tabela134[[#This Row],[Espécie]],Tabela2[[#All],[Espécie]:[Categoria de risco]],3,FALSE)</f>
        <v>Invertebrados Terrestres</v>
      </c>
      <c r="E242" s="152" t="str">
        <f>VLOOKUP(Tabela134[[#This Row],[Espécie]],Tabela2[[#All],[Espécie]:[Categoria de risco]],4,FALSE)</f>
        <v>Dados insuficientes</v>
      </c>
      <c r="F242" s="152" t="s">
        <v>657</v>
      </c>
      <c r="G242" s="60" t="s">
        <v>700</v>
      </c>
      <c r="H242" s="152" t="str">
        <f>VLOOKUP(Tabela134[[#This Row],[UC]],Tabela6[[#All],[UC]:[UF]],2,FALSE)</f>
        <v>SC/RS</v>
      </c>
      <c r="I242" s="230" t="s">
        <v>610</v>
      </c>
      <c r="J242" s="192">
        <f>IFERROR(VLOOKUP(Tabela134[[#This Row],[Espécie]],Tabela8[[#All],[Espécie]:[Nome fantasia]],4, FALSE), 0)</f>
        <v>0</v>
      </c>
      <c r="K242" s="165" t="s">
        <v>592</v>
      </c>
      <c r="L242" s="165" t="s">
        <v>592</v>
      </c>
    </row>
    <row r="243" spans="1:12" ht="19.5" customHeight="1">
      <c r="A243" s="175" t="s">
        <v>2320</v>
      </c>
      <c r="B243" s="147" t="s">
        <v>1175</v>
      </c>
      <c r="C243" s="152" t="str">
        <f>VLOOKUP(Tabela134[[#This Row],[Espécie]],Tabela2[[#All],[Espécie]:[Categoria de risco]],2,FALSE)</f>
        <v>uiraçu-falso</v>
      </c>
      <c r="D243" s="179" t="str">
        <f>VLOOKUP(Tabela134[[#This Row],[Espécie]],Tabela2[[#All],[Espécie]:[Categoria de risco]],3,FALSE)</f>
        <v>Aves</v>
      </c>
      <c r="E243" s="152" t="str">
        <f>VLOOKUP(Tabela134[[#This Row],[Espécie]],Tabela2[[#All],[Espécie]:[Categoria de risco]],4,FALSE)</f>
        <v>Vulnerável</v>
      </c>
      <c r="F243" s="175" t="s">
        <v>2313</v>
      </c>
      <c r="G243" s="174" t="s">
        <v>613</v>
      </c>
      <c r="H243" s="152" t="str">
        <f>VLOOKUP(Tabela134[[#This Row],[UC]],Tabela6[[#All],[UC]:[UF]],2,FALSE)</f>
        <v>SP/PR</v>
      </c>
      <c r="I243" s="230" t="s">
        <v>592</v>
      </c>
      <c r="J243" s="192" t="str">
        <f>IFERROR(VLOOKUP(Tabela134[[#This Row],[Espécie]],Tabela8[[#All],[Espécie]:[Nome fantasia]],4, FALSE), 0)</f>
        <v>Aves da Mata Atlântica - 2º ciclo</v>
      </c>
      <c r="K243" s="165" t="s">
        <v>610</v>
      </c>
      <c r="L243" s="165" t="s">
        <v>610</v>
      </c>
    </row>
    <row r="244" spans="1:12" ht="19.5" customHeight="1">
      <c r="A244" s="152" t="s">
        <v>590</v>
      </c>
      <c r="B244" s="176" t="s">
        <v>829</v>
      </c>
      <c r="C244" s="152" t="str">
        <f>VLOOKUP(Tabela134[[#This Row],[Espécie]],Tabela2[[#All],[Espécie]:[Categoria de risco]],2,FALSE)</f>
        <v>tainha</v>
      </c>
      <c r="D244" s="152" t="str">
        <f>VLOOKUP(Tabela134[[#This Row],[Espécie]],Tabela2[[#All],[Espécie]:[Categoria de risco]],3,FALSE)</f>
        <v>Peixes Marinhos (ósseos)</v>
      </c>
      <c r="E244" s="152" t="str">
        <f>VLOOKUP(Tabela134[[#This Row],[Espécie]],Tabela2[[#All],[Espécie]:[Categoria de risco]],4,FALSE)</f>
        <v>Dados insuficientes</v>
      </c>
      <c r="F244" s="152" t="s">
        <v>830</v>
      </c>
      <c r="G244" s="60" t="s">
        <v>770</v>
      </c>
      <c r="H244" s="152" t="str">
        <f>VLOOKUP(Tabela134[[#This Row],[UC]],Tabela6[[#All],[UC]:[UF]],2,FALSE)</f>
        <v>RS</v>
      </c>
      <c r="I244" s="230" t="s">
        <v>610</v>
      </c>
      <c r="J244" s="192">
        <f>IFERROR(VLOOKUP(Tabela134[[#This Row],[Espécie]],Tabela8[[#All],[Espécie]:[Nome fantasia]],4, FALSE), 0)</f>
        <v>0</v>
      </c>
      <c r="K244" s="165" t="s">
        <v>592</v>
      </c>
      <c r="L244" s="165" t="s">
        <v>592</v>
      </c>
    </row>
    <row r="245" spans="1:12" ht="19.5" customHeight="1">
      <c r="A245" s="152" t="s">
        <v>590</v>
      </c>
      <c r="B245" s="173" t="s">
        <v>828</v>
      </c>
      <c r="C245" s="152" t="str">
        <f>VLOOKUP(Tabela134[[#This Row],[Espécie]],Tabela2[[#All],[Espécie]:[Categoria de risco]],2,FALSE)</f>
        <v>tainha-olho-de-fogo</v>
      </c>
      <c r="D245" s="152" t="str">
        <f>VLOOKUP(Tabela134[[#This Row],[Espécie]],Tabela2[[#All],[Espécie]:[Categoria de risco]],3,FALSE)</f>
        <v>Peixes Marinhos (ósseos)</v>
      </c>
      <c r="E245" s="152" t="str">
        <f>VLOOKUP(Tabela134[[#This Row],[Espécie]],Tabela2[[#All],[Espécie]:[Categoria de risco]],4,FALSE)</f>
        <v>Menos preocupante</v>
      </c>
      <c r="G245" s="60" t="s">
        <v>770</v>
      </c>
      <c r="H245" s="152" t="str">
        <f>VLOOKUP(Tabela134[[#This Row],[UC]],Tabela6[[#All],[UC]:[UF]],2,FALSE)</f>
        <v>RS</v>
      </c>
      <c r="I245" s="230" t="s">
        <v>610</v>
      </c>
      <c r="J245" s="192">
        <f>IFERROR(VLOOKUP(Tabela134[[#This Row],[Espécie]],Tabela8[[#All],[Espécie]:[Nome fantasia]],4, FALSE), 0)</f>
        <v>0</v>
      </c>
      <c r="K245" s="165" t="s">
        <v>592</v>
      </c>
      <c r="L245" s="165" t="s">
        <v>592</v>
      </c>
    </row>
    <row r="246" spans="1:12" ht="19.5" customHeight="1">
      <c r="A246" s="152" t="s">
        <v>590</v>
      </c>
      <c r="B246" s="173" t="s">
        <v>827</v>
      </c>
      <c r="C246" s="152" t="str">
        <f>VLOOKUP(Tabela134[[#This Row],[Espécie]],Tabela2[[#All],[Espécie]:[Categoria de risco]],2,FALSE)</f>
        <v>tainha liza</v>
      </c>
      <c r="D246" s="152" t="str">
        <f>VLOOKUP(Tabela134[[#This Row],[Espécie]],Tabela2[[#All],[Espécie]:[Categoria de risco]],3,FALSE)</f>
        <v>Peixes Marinhos (ósseos)</v>
      </c>
      <c r="E246" s="152" t="str">
        <f>VLOOKUP(Tabela134[[#This Row],[Espécie]],Tabela2[[#All],[Espécie]:[Categoria de risco]],4,FALSE)</f>
        <v>Menos preocupante</v>
      </c>
      <c r="G246" s="60" t="s">
        <v>770</v>
      </c>
      <c r="H246" s="152" t="str">
        <f>VLOOKUP(Tabela134[[#This Row],[UC]],Tabela6[[#All],[UC]:[UF]],2,FALSE)</f>
        <v>RS</v>
      </c>
      <c r="I246" s="230" t="s">
        <v>610</v>
      </c>
      <c r="J246" s="192">
        <f>IFERROR(VLOOKUP(Tabela134[[#This Row],[Espécie]],Tabela8[[#All],[Espécie]:[Nome fantasia]],4, FALSE), 0)</f>
        <v>0</v>
      </c>
      <c r="K246" s="165" t="s">
        <v>592</v>
      </c>
      <c r="L246" s="165" t="s">
        <v>592</v>
      </c>
    </row>
    <row r="247" spans="1:12" ht="19.5" customHeight="1">
      <c r="A247" s="175" t="s">
        <v>2320</v>
      </c>
      <c r="B247" s="147" t="s">
        <v>1798</v>
      </c>
      <c r="C247" s="152" t="str">
        <f>VLOOKUP(Tabela134[[#This Row],[Espécie]],Tabela2[[#All],[Espécie]:[Categoria de risco]],2,FALSE)</f>
        <v>bico-doce, boca-de-velha, bodinho, cola-fina</v>
      </c>
      <c r="D247" s="179" t="str">
        <f>VLOOKUP(Tabela134[[#This Row],[Espécie]],Tabela2[[#All],[Espécie]:[Categoria de risco]],3,FALSE)</f>
        <v>Tubarões e Raias</v>
      </c>
      <c r="E247" s="152" t="str">
        <f>VLOOKUP(Tabela134[[#This Row],[Espécie]],Tabela2[[#All],[Espécie]:[Categoria de risco]],4,FALSE)</f>
        <v>Em Perigo</v>
      </c>
      <c r="F247" s="175" t="s">
        <v>2313</v>
      </c>
      <c r="G247" s="174" t="s">
        <v>91</v>
      </c>
      <c r="H247" s="152" t="str">
        <f>VLOOKUP(Tabela134[[#This Row],[UC]],Tabela6[[#All],[UC]:[UF]],2,FALSE)</f>
        <v>SC</v>
      </c>
      <c r="I247" s="230" t="s">
        <v>592</v>
      </c>
      <c r="J247" s="192" t="str">
        <f>IFERROR(VLOOKUP(Tabela134[[#This Row],[Espécie]],Tabela8[[#All],[Espécie]:[Nome fantasia]],4, FALSE), 0)</f>
        <v xml:space="preserve">Tubarões - 2º ciclo </v>
      </c>
      <c r="K247" s="165" t="s">
        <v>610</v>
      </c>
      <c r="L247" s="165" t="s">
        <v>610</v>
      </c>
    </row>
    <row r="248" spans="1:12" ht="19.5" customHeight="1">
      <c r="A248" s="175" t="s">
        <v>2320</v>
      </c>
      <c r="B248" s="147" t="s">
        <v>1800</v>
      </c>
      <c r="C248" s="152" t="str">
        <f>VLOOKUP(Tabela134[[#This Row],[Espécie]],Tabela2[[#All],[Espécie]:[Categoria de risco]],2,FALSE)</f>
        <v>cação-listrado, cação-malhado</v>
      </c>
      <c r="D248" s="179" t="str">
        <f>VLOOKUP(Tabela134[[#This Row],[Espécie]],Tabela2[[#All],[Espécie]:[Categoria de risco]],3,FALSE)</f>
        <v>Tubarões e Raias</v>
      </c>
      <c r="E248" s="152" t="str">
        <f>VLOOKUP(Tabela134[[#This Row],[Espécie]],Tabela2[[#All],[Espécie]:[Categoria de risco]],4,FALSE)</f>
        <v>Criticamente em Perigo</v>
      </c>
      <c r="F248" s="175" t="s">
        <v>2313</v>
      </c>
      <c r="G248" s="174" t="s">
        <v>91</v>
      </c>
      <c r="H248" s="152" t="str">
        <f>VLOOKUP(Tabela134[[#This Row],[UC]],Tabela6[[#All],[UC]:[UF]],2,FALSE)</f>
        <v>SC</v>
      </c>
      <c r="I248" s="230" t="s">
        <v>592</v>
      </c>
      <c r="J248" s="192" t="str">
        <f>IFERROR(VLOOKUP(Tabela134[[#This Row],[Espécie]],Tabela8[[#All],[Espécie]:[Nome fantasia]],4, FALSE), 0)</f>
        <v xml:space="preserve">Tubarões - 2º ciclo </v>
      </c>
      <c r="K248" s="165" t="s">
        <v>610</v>
      </c>
      <c r="L248" s="165" t="s">
        <v>610</v>
      </c>
    </row>
    <row r="249" spans="1:12" ht="19.5" customHeight="1">
      <c r="A249" s="175" t="s">
        <v>2320</v>
      </c>
      <c r="B249" s="147" t="s">
        <v>1800</v>
      </c>
      <c r="C249" s="152" t="str">
        <f>VLOOKUP(Tabela134[[#This Row],[Espécie]],Tabela2[[#All],[Espécie]:[Categoria de risco]],2,FALSE)</f>
        <v>cação-listrado, cação-malhado</v>
      </c>
      <c r="D249" s="179" t="str">
        <f>VLOOKUP(Tabela134[[#This Row],[Espécie]],Tabela2[[#All],[Espécie]:[Categoria de risco]],3,FALSE)</f>
        <v>Tubarões e Raias</v>
      </c>
      <c r="E249" s="152" t="str">
        <f>VLOOKUP(Tabela134[[#This Row],[Espécie]],Tabela2[[#All],[Espécie]:[Categoria de risco]],4,FALSE)</f>
        <v>Criticamente em Perigo</v>
      </c>
      <c r="F249" s="175" t="s">
        <v>2313</v>
      </c>
      <c r="G249" s="174" t="s">
        <v>680</v>
      </c>
      <c r="H249" s="152" t="str">
        <f>VLOOKUP(Tabela134[[#This Row],[UC]],Tabela6[[#All],[UC]:[UF]],2,FALSE)</f>
        <v>RS</v>
      </c>
      <c r="I249" s="230" t="s">
        <v>592</v>
      </c>
      <c r="J249" s="192" t="str">
        <f>IFERROR(VLOOKUP(Tabela134[[#This Row],[Espécie]],Tabela8[[#All],[Espécie]:[Nome fantasia]],4, FALSE), 0)</f>
        <v xml:space="preserve">Tubarões - 2º ciclo </v>
      </c>
      <c r="K249" s="165" t="s">
        <v>610</v>
      </c>
      <c r="L249" s="165" t="s">
        <v>610</v>
      </c>
    </row>
    <row r="250" spans="1:12" ht="19.5" customHeight="1">
      <c r="A250" s="152" t="s">
        <v>590</v>
      </c>
      <c r="B250" s="171" t="s">
        <v>741</v>
      </c>
      <c r="C250" s="152" t="str">
        <f>VLOOKUP(Tabela134[[#This Row],[Espécie]],Tabela2[[#All],[Espécie]:[Categoria de risco]],2,FALSE)</f>
        <v>Tubarão-bico-doce-pintado</v>
      </c>
      <c r="D250" s="152" t="str">
        <f>VLOOKUP(Tabela134[[#This Row],[Espécie]],Tabela2[[#All],[Espécie]:[Categoria de risco]],3,FALSE)</f>
        <v>Tubarões e Raias</v>
      </c>
      <c r="E250" s="152" t="str">
        <f>VLOOKUP(Tabela134[[#This Row],[Espécie]],Tabela2[[#All],[Espécie]:[Categoria de risco]],4,FALSE)</f>
        <v>Criticamente em Perigo</v>
      </c>
      <c r="G250" s="60" t="s">
        <v>730</v>
      </c>
      <c r="H250" s="152" t="str">
        <f>VLOOKUP(Tabela134[[#This Row],[UC]],Tabela6[[#All],[UC]:[UF]],2,FALSE)</f>
        <v>SC</v>
      </c>
      <c r="I250" s="230" t="s">
        <v>592</v>
      </c>
      <c r="J250" s="192" t="str">
        <f>IFERROR(VLOOKUP(Tabela134[[#This Row],[Espécie]],Tabela8[[#All],[Espécie]:[Nome fantasia]],4, FALSE), 0)</f>
        <v xml:space="preserve">Tubarões - 2º ciclo </v>
      </c>
      <c r="K250" s="165" t="s">
        <v>592</v>
      </c>
      <c r="L250" s="165" t="s">
        <v>592</v>
      </c>
    </row>
    <row r="251" spans="1:12" ht="19.5" customHeight="1">
      <c r="A251" s="152" t="s">
        <v>590</v>
      </c>
      <c r="B251" s="171" t="s">
        <v>628</v>
      </c>
      <c r="C251" s="152" t="str">
        <f>VLOOKUP(Tabela134[[#This Row],[Espécie]],Tabela2[[#All],[Espécie]:[Categoria de risco]],2,FALSE)</f>
        <v>Faquinha-arredondada, Marisco de água doce</v>
      </c>
      <c r="D251" s="152" t="str">
        <f>VLOOKUP(Tabela134[[#This Row],[Espécie]],Tabela2[[#All],[Espécie]:[Categoria de risco]],3,FALSE)</f>
        <v>Invertebrados de água doce</v>
      </c>
      <c r="E251" s="152" t="str">
        <f>VLOOKUP(Tabela134[[#This Row],[Espécie]],Tabela2[[#All],[Espécie]:[Categoria de risco]],4,FALSE)</f>
        <v>Em Perigo</v>
      </c>
      <c r="G251" s="60" t="s">
        <v>626</v>
      </c>
      <c r="H251" s="152" t="str">
        <f>VLOOKUP(Tabela134[[#This Row],[UC]],Tabela6[[#All],[UC]:[UF]],2,FALSE)</f>
        <v>RS</v>
      </c>
      <c r="I251" s="230" t="s">
        <v>610</v>
      </c>
      <c r="J251" s="192">
        <f>IFERROR(VLOOKUP(Tabela134[[#This Row],[Espécie]],Tabela8[[#All],[Espécie]:[Nome fantasia]],4, FALSE), 0)</f>
        <v>0</v>
      </c>
      <c r="K251" s="165" t="s">
        <v>592</v>
      </c>
      <c r="L251" s="165" t="s">
        <v>610</v>
      </c>
    </row>
    <row r="252" spans="1:12" ht="19.5" customHeight="1">
      <c r="A252" s="152" t="s">
        <v>590</v>
      </c>
      <c r="B252" s="171" t="s">
        <v>627</v>
      </c>
      <c r="C252" s="152" t="str">
        <f>VLOOKUP(Tabela134[[#This Row],[Espécie]],Tabela2[[#All],[Espécie]:[Categoria de risco]],2,FALSE)</f>
        <v>Faquinha-truncada</v>
      </c>
      <c r="D252" s="152" t="str">
        <f>VLOOKUP(Tabela134[[#This Row],[Espécie]],Tabela2[[#All],[Espécie]:[Categoria de risco]],3,FALSE)</f>
        <v>Invertebrados de água doce</v>
      </c>
      <c r="E252" s="152" t="str">
        <f>VLOOKUP(Tabela134[[#This Row],[Espécie]],Tabela2[[#All],[Espécie]:[Categoria de risco]],4,FALSE)</f>
        <v>Menos preocupante</v>
      </c>
      <c r="F252" s="152" t="s">
        <v>625</v>
      </c>
      <c r="G252" s="60" t="s">
        <v>626</v>
      </c>
      <c r="H252" s="152" t="str">
        <f>VLOOKUP(Tabela134[[#This Row],[UC]],Tabela6[[#All],[UC]:[UF]],2,FALSE)</f>
        <v>RS</v>
      </c>
      <c r="I252" s="230" t="s">
        <v>610</v>
      </c>
      <c r="J252" s="192">
        <f>IFERROR(VLOOKUP(Tabela134[[#This Row],[Espécie]],Tabela8[[#All],[Espécie]:[Nome fantasia]],4, FALSE), 0)</f>
        <v>0</v>
      </c>
      <c r="K252" s="165" t="s">
        <v>592</v>
      </c>
      <c r="L252" s="165" t="s">
        <v>610</v>
      </c>
    </row>
    <row r="253" spans="1:12" ht="19.5" customHeight="1">
      <c r="A253" s="152" t="s">
        <v>590</v>
      </c>
      <c r="B253" s="171" t="s">
        <v>750</v>
      </c>
      <c r="C253" s="152" t="str">
        <f>VLOOKUP(Tabela134[[#This Row],[Espécie]],Tabela2[[#All],[Espécie]:[Categoria de risco]],2,FALSE)</f>
        <v>badejo, badejo-quadrado, Sirigado</v>
      </c>
      <c r="D253" s="152" t="str">
        <f>VLOOKUP(Tabela134[[#This Row],[Espécie]],Tabela2[[#All],[Espécie]:[Categoria de risco]],3,FALSE)</f>
        <v>Peixes Marinhos (Ósseos)</v>
      </c>
      <c r="E253" s="152" t="str">
        <f>VLOOKUP(Tabela134[[#This Row],[Espécie]],Tabela2[[#All],[Espécie]:[Categoria de risco]],4,FALSE)</f>
        <v>Vulnerável</v>
      </c>
      <c r="G253" s="60" t="s">
        <v>730</v>
      </c>
      <c r="H253" s="152" t="str">
        <f>VLOOKUP(Tabela134[[#This Row],[UC]],Tabela6[[#All],[UC]:[UF]],2,FALSE)</f>
        <v>SC</v>
      </c>
      <c r="I253" s="230" t="s">
        <v>610</v>
      </c>
      <c r="J253" s="192">
        <f>IFERROR(VLOOKUP(Tabela134[[#This Row],[Espécie]],Tabela8[[#All],[Espécie]:[Nome fantasia]],4, FALSE), 0)</f>
        <v>0</v>
      </c>
      <c r="K253" s="165" t="s">
        <v>592</v>
      </c>
      <c r="L253" s="165" t="s">
        <v>592</v>
      </c>
    </row>
    <row r="254" spans="1:12" ht="19.5" customHeight="1">
      <c r="A254" s="152" t="s">
        <v>590</v>
      </c>
      <c r="B254" s="171" t="s">
        <v>751</v>
      </c>
      <c r="C254" s="152" t="str">
        <f>VLOOKUP(Tabela134[[#This Row],[Espécie]],Tabela2[[#All],[Espécie]:[Categoria de risco]],2,FALSE)</f>
        <v>badejo, badejo-amarelo</v>
      </c>
      <c r="D254" s="152" t="str">
        <f>VLOOKUP(Tabela134[[#This Row],[Espécie]],Tabela2[[#All],[Espécie]:[Categoria de risco]],3,FALSE)</f>
        <v>Peixes Marinhos (ósseos)</v>
      </c>
      <c r="E254" s="152" t="str">
        <f>VLOOKUP(Tabela134[[#This Row],[Espécie]],Tabela2[[#All],[Espécie]:[Categoria de risco]],4,FALSE)</f>
        <v>Vulnerável</v>
      </c>
      <c r="G254" s="60" t="s">
        <v>730</v>
      </c>
      <c r="H254" s="152" t="str">
        <f>VLOOKUP(Tabela134[[#This Row],[UC]],Tabela6[[#All],[UC]:[UF]],2,FALSE)</f>
        <v>SC</v>
      </c>
      <c r="I254" s="230" t="s">
        <v>610</v>
      </c>
      <c r="J254" s="192">
        <f>IFERROR(VLOOKUP(Tabela134[[#This Row],[Espécie]],Tabela8[[#All],[Espécie]:[Nome fantasia]],4, FALSE), 0)</f>
        <v>0</v>
      </c>
      <c r="K254" s="165" t="s">
        <v>592</v>
      </c>
      <c r="L254" s="165" t="s">
        <v>592</v>
      </c>
    </row>
    <row r="255" spans="1:12" ht="19.5" customHeight="1">
      <c r="A255" s="175" t="s">
        <v>2320</v>
      </c>
      <c r="B255" s="147" t="s">
        <v>1806</v>
      </c>
      <c r="C255" s="152" t="str">
        <f>VLOOKUP(Tabela134[[#This Row],[Espécie]],Tabela2[[#All],[Espécie]:[Categoria de risco]],2,FALSE)</f>
        <v>Pacu-prata</v>
      </c>
      <c r="D255" s="179" t="str">
        <f>VLOOKUP(Tabela134[[#This Row],[Espécie]],Tabela2[[#All],[Espécie]:[Categoria de risco]],3,FALSE)</f>
        <v>Peixes Continentais</v>
      </c>
      <c r="E255" s="152" t="str">
        <f>VLOOKUP(Tabela134[[#This Row],[Espécie]],Tabela2[[#All],[Espécie]:[Categoria de risco]],4,FALSE)</f>
        <v>Em Perigo</v>
      </c>
      <c r="F255" s="175" t="s">
        <v>2313</v>
      </c>
      <c r="G255" s="174" t="s">
        <v>602</v>
      </c>
      <c r="H255" s="152" t="str">
        <f>VLOOKUP(Tabela134[[#This Row],[UC]],Tabela6[[#All],[UC]:[UF]],2,FALSE)</f>
        <v>SP/PR/MS</v>
      </c>
      <c r="I255" s="230" t="s">
        <v>610</v>
      </c>
      <c r="J255" s="192">
        <f>IFERROR(VLOOKUP(Tabela134[[#This Row],[Espécie]],Tabela8[[#All],[Espécie]:[Nome fantasia]],4, FALSE), 0)</f>
        <v>0</v>
      </c>
      <c r="K255" s="165" t="s">
        <v>610</v>
      </c>
      <c r="L255" s="165" t="s">
        <v>610</v>
      </c>
    </row>
    <row r="256" spans="1:12" ht="19.5" customHeight="1">
      <c r="A256" s="152" t="s">
        <v>590</v>
      </c>
      <c r="B256" s="171" t="s">
        <v>775</v>
      </c>
      <c r="C256" s="152" t="str">
        <f>VLOOKUP(Tabela134[[#This Row],[Espécie]],Tabela2[[#All],[Espécie]:[Categoria de risco]],2,FALSE)</f>
        <v>raia-amarela, raia-manteiga, raia-sapo</v>
      </c>
      <c r="D256" s="152" t="str">
        <f>VLOOKUP(Tabela134[[#This Row],[Espécie]],Tabela2[[#All],[Espécie]:[Categoria de risco]],3,FALSE)</f>
        <v>Tubarões e Raias</v>
      </c>
      <c r="E256" s="152" t="str">
        <f>VLOOKUP(Tabela134[[#This Row],[Espécie]],Tabela2[[#All],[Espécie]:[Categoria de risco]],4,FALSE)</f>
        <v>Em Perigo</v>
      </c>
      <c r="G256" s="60" t="s">
        <v>770</v>
      </c>
      <c r="H256" s="152" t="str">
        <f>VLOOKUP(Tabela134[[#This Row],[UC]],Tabela6[[#All],[UC]:[UF]],2,FALSE)</f>
        <v>RS</v>
      </c>
      <c r="I256" s="230" t="s">
        <v>610</v>
      </c>
      <c r="J256" s="192">
        <f>IFERROR(VLOOKUP(Tabela134[[#This Row],[Espécie]],Tabela8[[#All],[Espécie]:[Nome fantasia]],4, FALSE), 0)</f>
        <v>0</v>
      </c>
      <c r="K256" s="165" t="s">
        <v>592</v>
      </c>
      <c r="L256" s="165" t="s">
        <v>592</v>
      </c>
    </row>
    <row r="257" spans="1:12" ht="19.5" customHeight="1">
      <c r="A257" s="175" t="s">
        <v>2320</v>
      </c>
      <c r="B257" s="147" t="s">
        <v>1809</v>
      </c>
      <c r="C257" s="152" t="str">
        <f>VLOOKUP(Tabela134[[#This Row],[Espécie]],Tabela2[[#All],[Espécie]:[Categoria de risco]],2,FALSE)</f>
        <v>raia-águia-do-sul</v>
      </c>
      <c r="D257" s="179" t="str">
        <f>VLOOKUP(Tabela134[[#This Row],[Espécie]],Tabela2[[#All],[Espécie]:[Categoria de risco]],3,FALSE)</f>
        <v>Tubarões e Raias</v>
      </c>
      <c r="E257" s="152" t="str">
        <f>VLOOKUP(Tabela134[[#This Row],[Espécie]],Tabela2[[#All],[Espécie]:[Categoria de risco]],4,FALSE)</f>
        <v>Criticamente em Perigo</v>
      </c>
      <c r="F257" s="175" t="s">
        <v>2313</v>
      </c>
      <c r="G257" s="174" t="s">
        <v>730</v>
      </c>
      <c r="H257" s="152" t="str">
        <f>VLOOKUP(Tabela134[[#This Row],[UC]],Tabela6[[#All],[UC]:[UF]],2,FALSE)</f>
        <v>SC</v>
      </c>
      <c r="I257" s="230" t="s">
        <v>592</v>
      </c>
      <c r="J257" s="192" t="str">
        <f>IFERROR(VLOOKUP(Tabela134[[#This Row],[Espécie]],Tabela8[[#All],[Espécie]:[Nome fantasia]],4, FALSE), 0)</f>
        <v xml:space="preserve">Tubarões - 2º ciclo </v>
      </c>
      <c r="K257" s="165" t="s">
        <v>610</v>
      </c>
      <c r="L257" s="165" t="s">
        <v>610</v>
      </c>
    </row>
    <row r="258" spans="1:12" ht="19.5" customHeight="1">
      <c r="A258" s="175" t="s">
        <v>2320</v>
      </c>
      <c r="B258" s="147" t="s">
        <v>1811</v>
      </c>
      <c r="C258" s="152" t="str">
        <f>VLOOKUP(Tabela134[[#This Row],[Espécie]],Tabela2[[#All],[Espécie]:[Categoria de risco]],2,FALSE)</f>
        <v>raia-manteiga, raia-sapo</v>
      </c>
      <c r="D258" s="179" t="str">
        <f>VLOOKUP(Tabela134[[#This Row],[Espécie]],Tabela2[[#All],[Espécie]:[Categoria de risco]],3,FALSE)</f>
        <v>Tubarões e Raias</v>
      </c>
      <c r="E258" s="152" t="str">
        <f>VLOOKUP(Tabela134[[#This Row],[Espécie]],Tabela2[[#All],[Espécie]:[Categoria de risco]],4,FALSE)</f>
        <v>Criticamente em Perigo</v>
      </c>
      <c r="F258" s="175" t="s">
        <v>2313</v>
      </c>
      <c r="G258" s="174" t="s">
        <v>680</v>
      </c>
      <c r="H258" s="152" t="str">
        <f>VLOOKUP(Tabela134[[#This Row],[UC]],Tabela6[[#All],[UC]:[UF]],2,FALSE)</f>
        <v>RS</v>
      </c>
      <c r="I258" s="230" t="s">
        <v>592</v>
      </c>
      <c r="J258" s="192" t="str">
        <f>IFERROR(VLOOKUP(Tabela134[[#This Row],[Espécie]],Tabela8[[#All],[Espécie]:[Nome fantasia]],4, FALSE), 0)</f>
        <v xml:space="preserve">Tubarões - 2º ciclo </v>
      </c>
      <c r="K258" s="165" t="s">
        <v>610</v>
      </c>
      <c r="L258" s="165" t="s">
        <v>610</v>
      </c>
    </row>
    <row r="259" spans="1:12" ht="19.5" customHeight="1">
      <c r="A259" s="152" t="s">
        <v>590</v>
      </c>
      <c r="B259" s="171" t="s">
        <v>673</v>
      </c>
      <c r="C259" s="152" t="str">
        <f>VLOOKUP(Tabela134[[#This Row],[Espécie]],Tabela2[[#All],[Espécie]:[Categoria de risco]],2,FALSE)</f>
        <v>Morcego-borboleta-avermelhado</v>
      </c>
      <c r="D259" s="152" t="str">
        <f>VLOOKUP(Tabela134[[#This Row],[Espécie]],Tabela2[[#All],[Espécie]:[Categoria de risco]],3,FALSE)</f>
        <v>Mamíferos</v>
      </c>
      <c r="E259" s="152" t="str">
        <f>VLOOKUP(Tabela134[[#This Row],[Espécie]],Tabela2[[#All],[Espécie]:[Categoria de risco]],4,FALSE)</f>
        <v>Menos preocupante</v>
      </c>
      <c r="F259" s="172" t="s">
        <v>674</v>
      </c>
      <c r="G259" s="60" t="s">
        <v>670</v>
      </c>
      <c r="H259" s="152" t="str">
        <f>VLOOKUP(Tabela134[[#This Row],[UC]],Tabela6[[#All],[UC]:[UF]],2,FALSE)</f>
        <v>RS</v>
      </c>
      <c r="I259" s="230" t="s">
        <v>610</v>
      </c>
      <c r="J259" s="192">
        <f>IFERROR(VLOOKUP(Tabela134[[#This Row],[Espécie]],Tabela8[[#All],[Espécie]:[Nome fantasia]],4, FALSE), 0)</f>
        <v>0</v>
      </c>
      <c r="K259" s="165" t="s">
        <v>610</v>
      </c>
      <c r="L259" s="165" t="s">
        <v>610</v>
      </c>
    </row>
    <row r="260" spans="1:12" ht="19.5" customHeight="1">
      <c r="A260" s="152" t="s">
        <v>590</v>
      </c>
      <c r="B260" s="171" t="s">
        <v>673</v>
      </c>
      <c r="C260" s="152" t="str">
        <f>VLOOKUP(Tabela134[[#This Row],[Espécie]],Tabela2[[#All],[Espécie]:[Categoria de risco]],2,FALSE)</f>
        <v>Morcego-borboleta-avermelhado</v>
      </c>
      <c r="D260" s="152" t="str">
        <f>VLOOKUP(Tabela134[[#This Row],[Espécie]],Tabela2[[#All],[Espécie]:[Categoria de risco]],3,FALSE)</f>
        <v>Mamíferos</v>
      </c>
      <c r="E260" s="152" t="str">
        <f>VLOOKUP(Tabela134[[#This Row],[Espécie]],Tabela2[[#All],[Espécie]:[Categoria de risco]],4,FALSE)</f>
        <v>Menos preocupante</v>
      </c>
      <c r="F260" s="172" t="s">
        <v>674</v>
      </c>
      <c r="G260" s="60" t="s">
        <v>137</v>
      </c>
      <c r="H260" s="152" t="str">
        <f>VLOOKUP(Tabela134[[#This Row],[UC]],Tabela6[[#All],[UC]:[UF]],2,FALSE)</f>
        <v>SC</v>
      </c>
      <c r="I260" s="230" t="s">
        <v>610</v>
      </c>
      <c r="J260" s="192">
        <f>IFERROR(VLOOKUP(Tabela134[[#This Row],[Espécie]],Tabela8[[#All],[Espécie]:[Nome fantasia]],4, FALSE), 0)</f>
        <v>0</v>
      </c>
      <c r="K260" s="165" t="s">
        <v>592</v>
      </c>
      <c r="L260" s="165" t="s">
        <v>592</v>
      </c>
    </row>
    <row r="261" spans="1:12" ht="19.5" customHeight="1">
      <c r="A261" s="152" t="s">
        <v>590</v>
      </c>
      <c r="B261" s="171" t="s">
        <v>673</v>
      </c>
      <c r="C261" s="152" t="str">
        <f>VLOOKUP(Tabela134[[#This Row],[Espécie]],Tabela2[[#All],[Espécie]:[Categoria de risco]],2,FALSE)</f>
        <v>Morcego-borboleta-avermelhado</v>
      </c>
      <c r="D261" s="152" t="str">
        <f>VLOOKUP(Tabela134[[#This Row],[Espécie]],Tabela2[[#All],[Espécie]:[Categoria de risco]],3,FALSE)</f>
        <v>Mamíferos</v>
      </c>
      <c r="E261" s="152" t="str">
        <f>VLOOKUP(Tabela134[[#This Row],[Espécie]],Tabela2[[#All],[Espécie]:[Categoria de risco]],4,FALSE)</f>
        <v>Menos preocupante</v>
      </c>
      <c r="F261" s="172" t="s">
        <v>674</v>
      </c>
      <c r="G261" s="60" t="s">
        <v>703</v>
      </c>
      <c r="H261" s="152" t="str">
        <f>VLOOKUP(Tabela134[[#This Row],[UC]],Tabela6[[#All],[UC]:[UF]],2,FALSE)</f>
        <v>MS/PR</v>
      </c>
      <c r="I261" s="230" t="s">
        <v>610</v>
      </c>
      <c r="J261" s="192">
        <f>IFERROR(VLOOKUP(Tabela134[[#This Row],[Espécie]],Tabela8[[#All],[Espécie]:[Nome fantasia]],4, FALSE), 0)</f>
        <v>0</v>
      </c>
      <c r="K261" s="165" t="s">
        <v>592</v>
      </c>
      <c r="L261" s="165" t="s">
        <v>592</v>
      </c>
    </row>
    <row r="262" spans="1:12" ht="19.5" customHeight="1">
      <c r="A262" s="152" t="s">
        <v>590</v>
      </c>
      <c r="B262" s="171" t="s">
        <v>673</v>
      </c>
      <c r="C262" s="152" t="str">
        <f>VLOOKUP(Tabela134[[#This Row],[Espécie]],Tabela2[[#All],[Espécie]:[Categoria de risco]],2,FALSE)</f>
        <v>Morcego-borboleta-avermelhado</v>
      </c>
      <c r="D262" s="152" t="str">
        <f>VLOOKUP(Tabela134[[#This Row],[Espécie]],Tabela2[[#All],[Espécie]:[Categoria de risco]],3,FALSE)</f>
        <v>Mamíferos</v>
      </c>
      <c r="E262" s="152" t="str">
        <f>VLOOKUP(Tabela134[[#This Row],[Espécie]],Tabela2[[#All],[Espécie]:[Categoria de risco]],4,FALSE)</f>
        <v>Menos preocupante</v>
      </c>
      <c r="F262" s="172" t="s">
        <v>674</v>
      </c>
      <c r="G262" s="60" t="s">
        <v>715</v>
      </c>
      <c r="H262" s="152" t="str">
        <f>VLOOKUP(Tabela134[[#This Row],[UC]],Tabela6[[#All],[UC]:[UF]],2,FALSE)</f>
        <v>PR</v>
      </c>
      <c r="I262" s="230" t="s">
        <v>610</v>
      </c>
      <c r="J262" s="192">
        <f>IFERROR(VLOOKUP(Tabela134[[#This Row],[Espécie]],Tabela8[[#All],[Espécie]:[Nome fantasia]],4, FALSE), 0)</f>
        <v>0</v>
      </c>
      <c r="K262" s="165" t="s">
        <v>592</v>
      </c>
      <c r="L262" s="165" t="s">
        <v>592</v>
      </c>
    </row>
    <row r="263" spans="1:12" ht="19.5" customHeight="1">
      <c r="A263" s="152" t="s">
        <v>590</v>
      </c>
      <c r="B263" s="171" t="s">
        <v>432</v>
      </c>
      <c r="C263" s="152" t="str">
        <f>VLOOKUP(Tabela134[[#This Row],[Espécie]],Tabela2[[#All],[Espécie]:[Categoria de risco]],2,FALSE)</f>
        <v>Tamanduá-bandeira, Bandurra, Jurumi, Jurumim, Papa-formigas</v>
      </c>
      <c r="D263" s="152" t="str">
        <f>VLOOKUP(Tabela134[[#This Row],[Espécie]],Tabela2[[#All],[Espécie]:[Categoria de risco]],3,FALSE)</f>
        <v>Mamíferos</v>
      </c>
      <c r="E263" s="152" t="str">
        <f>VLOOKUP(Tabela134[[#This Row],[Espécie]],Tabela2[[#All],[Espécie]:[Categoria de risco]],4,FALSE)</f>
        <v>Vulnerável</v>
      </c>
      <c r="G263" s="60" t="s">
        <v>703</v>
      </c>
      <c r="H263" s="152" t="str">
        <f>VLOOKUP(Tabela134[[#This Row],[UC]],Tabela6[[#All],[UC]:[UF]],2,FALSE)</f>
        <v>MS/PR</v>
      </c>
      <c r="I263" s="230" t="s">
        <v>592</v>
      </c>
      <c r="J263" s="192" t="str">
        <f>IFERROR(VLOOKUP(Tabela134[[#This Row],[Espécie]],Tabela8[[#All],[Espécie]:[Nome fantasia]],4, FALSE), 0)</f>
        <v>Tamanduá-bandeira e Tatus</v>
      </c>
      <c r="K263" s="165" t="s">
        <v>592</v>
      </c>
      <c r="L263" s="165" t="s">
        <v>592</v>
      </c>
    </row>
    <row r="264" spans="1:12" ht="19.5" customHeight="1">
      <c r="A264" s="152" t="s">
        <v>622</v>
      </c>
      <c r="B264" s="171" t="s">
        <v>432</v>
      </c>
      <c r="C264" s="152" t="str">
        <f>VLOOKUP(Tabela134[[#This Row],[Espécie]],Tabela2[[#All],[Espécie]:[Categoria de risco]],2,FALSE)</f>
        <v>Tamanduá-bandeira, Bandurra, Jurumi, Jurumim, Papa-formigas</v>
      </c>
      <c r="D264" s="152" t="str">
        <f>VLOOKUP(Tabela134[[#This Row],[Espécie]],Tabela2[[#All],[Espécie]:[Categoria de risco]],3,FALSE)</f>
        <v>Mamíferos</v>
      </c>
      <c r="E264" s="152" t="str">
        <f>VLOOKUP(Tabela134[[#This Row],[Espécie]],Tabela2[[#All],[Espécie]:[Categoria de risco]],4,FALSE)</f>
        <v>Vulnerável</v>
      </c>
      <c r="G264" s="60" t="s">
        <v>668</v>
      </c>
      <c r="H264" s="152" t="str">
        <f>VLOOKUP(Tabela134[[#This Row],[UC]],Tabela6[[#All],[UC]:[UF]],2,FALSE)</f>
        <v>PR</v>
      </c>
      <c r="I264" s="230" t="s">
        <v>592</v>
      </c>
      <c r="J264" s="192" t="str">
        <f>IFERROR(VLOOKUP(Tabela134[[#This Row],[Espécie]],Tabela8[[#All],[Espécie]:[Nome fantasia]],4, FALSE), 0)</f>
        <v>Tamanduá-bandeira e Tatus</v>
      </c>
      <c r="K264" s="165" t="s">
        <v>592</v>
      </c>
      <c r="L264" s="165" t="s">
        <v>592</v>
      </c>
    </row>
    <row r="265" spans="1:12" ht="19.5" customHeight="1">
      <c r="A265" s="152" t="s">
        <v>622</v>
      </c>
      <c r="B265" s="171" t="s">
        <v>432</v>
      </c>
      <c r="C265" s="152" t="str">
        <f>VLOOKUP(Tabela134[[#This Row],[Espécie]],Tabela2[[#All],[Espécie]:[Categoria de risco]],2,FALSE)</f>
        <v>Tamanduá-bandeira, Bandurra, Jurumi, Jurumim, Papa-formigas</v>
      </c>
      <c r="D265" s="152" t="str">
        <f>VLOOKUP(Tabela134[[#This Row],[Espécie]],Tabela2[[#All],[Espécie]:[Categoria de risco]],3,FALSE)</f>
        <v>Mamíferos</v>
      </c>
      <c r="E265" s="152" t="str">
        <f>VLOOKUP(Tabela134[[#This Row],[Espécie]],Tabela2[[#All],[Espécie]:[Categoria de risco]],4,FALSE)</f>
        <v>Vulnerável</v>
      </c>
      <c r="G265" s="60" t="s">
        <v>722</v>
      </c>
      <c r="H265" s="152" t="str">
        <f>VLOOKUP(Tabela134[[#This Row],[UC]],Tabela6[[#All],[UC]:[UF]],2,FALSE)</f>
        <v>PR</v>
      </c>
      <c r="I265" s="230" t="s">
        <v>592</v>
      </c>
      <c r="J265" s="192" t="str">
        <f>IFERROR(VLOOKUP(Tabela134[[#This Row],[Espécie]],Tabela8[[#All],[Espécie]:[Nome fantasia]],4, FALSE), 0)</f>
        <v>Tamanduá-bandeira e Tatus</v>
      </c>
      <c r="K265" s="165" t="s">
        <v>592</v>
      </c>
      <c r="L265" s="165" t="s">
        <v>592</v>
      </c>
    </row>
    <row r="266" spans="1:12" ht="19.5" customHeight="1">
      <c r="A266" s="152" t="s">
        <v>622</v>
      </c>
      <c r="B266" s="171" t="s">
        <v>432</v>
      </c>
      <c r="C266" s="152" t="str">
        <f>VLOOKUP(Tabela134[[#This Row],[Espécie]],Tabela2[[#All],[Espécie]:[Categoria de risco]],2,FALSE)</f>
        <v>Tamanduá-bandeira, Bandurra, Jurumi, Jurumim, Papa-formigas</v>
      </c>
      <c r="D266" s="152" t="str">
        <f>VLOOKUP(Tabela134[[#This Row],[Espécie]],Tabela2[[#All],[Espécie]:[Categoria de risco]],3,FALSE)</f>
        <v>Mamíferos</v>
      </c>
      <c r="E266" s="152" t="str">
        <f>VLOOKUP(Tabela134[[#This Row],[Espécie]],Tabela2[[#All],[Espécie]:[Categoria de risco]],4,FALSE)</f>
        <v>Vulnerável</v>
      </c>
      <c r="G266" s="60" t="s">
        <v>857</v>
      </c>
      <c r="H266" s="152" t="str">
        <f>VLOOKUP(Tabela134[[#This Row],[UC]],Tabela6[[#All],[UC]:[UF]],2,FALSE)</f>
        <v>PR/SC</v>
      </c>
      <c r="I266" s="230" t="s">
        <v>592</v>
      </c>
      <c r="J266" s="192" t="str">
        <f>IFERROR(VLOOKUP(Tabela134[[#This Row],[Espécie]],Tabela8[[#All],[Espécie]:[Nome fantasia]],4, FALSE), 0)</f>
        <v>Tamanduá-bandeira e Tatus</v>
      </c>
      <c r="K266" s="165" t="s">
        <v>592</v>
      </c>
      <c r="L266" s="165" t="s">
        <v>592</v>
      </c>
    </row>
    <row r="267" spans="1:12" ht="19.5" customHeight="1">
      <c r="A267" s="152" t="s">
        <v>590</v>
      </c>
      <c r="B267" s="173" t="s">
        <v>808</v>
      </c>
      <c r="C267" s="152" t="str">
        <f>VLOOKUP(Tabela134[[#This Row],[Espécie]],Tabela2[[#All],[Espécie]:[Categoria de risco]],2,FALSE)</f>
        <v>Biguá</v>
      </c>
      <c r="D267" s="152" t="str">
        <f>VLOOKUP(Tabela134[[#This Row],[Espécie]],Tabela2[[#All],[Espécie]:[Categoria de risco]],3,FALSE)</f>
        <v>Aves</v>
      </c>
      <c r="E267" s="152" t="str">
        <f>VLOOKUP(Tabela134[[#This Row],[Espécie]],Tabela2[[#All],[Espécie]:[Categoria de risco]],4,FALSE)</f>
        <v>Menos preocupante</v>
      </c>
      <c r="F267" s="152" t="s">
        <v>809</v>
      </c>
      <c r="G267" s="60" t="s">
        <v>770</v>
      </c>
      <c r="H267" s="152" t="str">
        <f>VLOOKUP(Tabela134[[#This Row],[UC]],Tabela6[[#All],[UC]:[UF]],2,FALSE)</f>
        <v>RS</v>
      </c>
      <c r="I267" s="230" t="s">
        <v>610</v>
      </c>
      <c r="J267" s="192">
        <f>IFERROR(VLOOKUP(Tabela134[[#This Row],[Espécie]],Tabela8[[#All],[Espécie]:[Nome fantasia]],4, FALSE), 0)</f>
        <v>0</v>
      </c>
      <c r="K267" s="165" t="s">
        <v>592</v>
      </c>
      <c r="L267" s="165" t="s">
        <v>592</v>
      </c>
    </row>
    <row r="268" spans="1:12" ht="19.5" customHeight="1">
      <c r="A268" s="152" t="s">
        <v>590</v>
      </c>
      <c r="B268" s="171" t="s">
        <v>764</v>
      </c>
      <c r="C268" s="152" t="str">
        <f>VLOOKUP(Tabela134[[#This Row],[Espécie]],Tabela2[[#All],[Espécie]:[Categoria de risco]],2,FALSE)</f>
        <v>raia-elétrica, treme-treme</v>
      </c>
      <c r="D268" s="152" t="str">
        <f>VLOOKUP(Tabela134[[#This Row],[Espécie]],Tabela2[[#All],[Espécie]:[Categoria de risco]],3,FALSE)</f>
        <v>Tubarões e Raias</v>
      </c>
      <c r="E268" s="152" t="str">
        <f>VLOOKUP(Tabela134[[#This Row],[Espécie]],Tabela2[[#All],[Espécie]:[Categoria de risco]],4,FALSE)</f>
        <v>Vulnerável</v>
      </c>
      <c r="G268" s="60" t="s">
        <v>730</v>
      </c>
      <c r="H268" s="152" t="str">
        <f>VLOOKUP(Tabela134[[#This Row],[UC]],Tabela6[[#All],[UC]:[UF]],2,FALSE)</f>
        <v>SC</v>
      </c>
      <c r="I268" s="230" t="s">
        <v>592</v>
      </c>
      <c r="J268" s="192" t="str">
        <f>IFERROR(VLOOKUP(Tabela134[[#This Row],[Espécie]],Tabela8[[#All],[Espécie]:[Nome fantasia]],4, FALSE), 0)</f>
        <v xml:space="preserve">Tubarões - 2º ciclo </v>
      </c>
      <c r="K268" s="165" t="s">
        <v>592</v>
      </c>
      <c r="L268" s="165" t="s">
        <v>592</v>
      </c>
    </row>
    <row r="269" spans="1:12" ht="19.5" customHeight="1">
      <c r="A269" s="152" t="s">
        <v>590</v>
      </c>
      <c r="B269" s="171" t="s">
        <v>659</v>
      </c>
      <c r="C269" s="152" t="str">
        <f>VLOOKUP(Tabela134[[#This Row],[Espécie]],Tabela2[[#All],[Espécie]:[Categoria de risco]],2,FALSE)</f>
        <v>Coati, Quati, Quati-de-vara, Quati-mundéo</v>
      </c>
      <c r="D269" s="152" t="str">
        <f>VLOOKUP(Tabela134[[#This Row],[Espécie]],Tabela2[[#All],[Espécie]:[Categoria de risco]],3,FALSE)</f>
        <v>Mamíferos</v>
      </c>
      <c r="E269" s="152" t="str">
        <f>VLOOKUP(Tabela134[[#This Row],[Espécie]],Tabela2[[#All],[Espécie]:[Categoria de risco]],4,FALSE)</f>
        <v>Menos preocupante</v>
      </c>
      <c r="G269" s="60" t="s">
        <v>656</v>
      </c>
      <c r="H269" s="152" t="str">
        <f>VLOOKUP(Tabela134[[#This Row],[UC]],Tabela6[[#All],[UC]:[UF]],2,FALSE)</f>
        <v>RS</v>
      </c>
      <c r="I269" s="230" t="s">
        <v>610</v>
      </c>
      <c r="J269" s="192">
        <f>IFERROR(VLOOKUP(Tabela134[[#This Row],[Espécie]],Tabela8[[#All],[Espécie]:[Nome fantasia]],4, FALSE), 0)</f>
        <v>0</v>
      </c>
      <c r="K269" s="165" t="s">
        <v>610</v>
      </c>
      <c r="L269" s="165" t="s">
        <v>610</v>
      </c>
    </row>
    <row r="270" spans="1:12" ht="19.5" customHeight="1">
      <c r="A270" s="175" t="s">
        <v>2320</v>
      </c>
      <c r="B270" s="147" t="s">
        <v>1815</v>
      </c>
      <c r="C270" s="152" t="str">
        <f>VLOOKUP(Tabela134[[#This Row],[Espécie]],Tabela2[[#All],[Espécie]:[Categoria de risco]],2,FALSE)</f>
        <v>cação-bruxa, tubarão-de-sete-fendas-pintado</v>
      </c>
      <c r="D270" s="179" t="str">
        <f>VLOOKUP(Tabela134[[#This Row],[Espécie]],Tabela2[[#All],[Espécie]:[Categoria de risco]],3,FALSE)</f>
        <v>Tubarões e Raias</v>
      </c>
      <c r="E270" s="152" t="str">
        <f>VLOOKUP(Tabela134[[#This Row],[Espécie]],Tabela2[[#All],[Espécie]:[Categoria de risco]],4,FALSE)</f>
        <v>Criticamente em Perigo</v>
      </c>
      <c r="F270" s="175" t="s">
        <v>2313</v>
      </c>
      <c r="G270" s="175" t="s">
        <v>730</v>
      </c>
      <c r="H270" s="152" t="str">
        <f>VLOOKUP(Tabela134[[#This Row],[UC]],Tabela6[[#All],[UC]:[UF]],2,FALSE)</f>
        <v>SC</v>
      </c>
      <c r="I270" s="230" t="s">
        <v>592</v>
      </c>
      <c r="J270" s="192" t="str">
        <f>IFERROR(VLOOKUP(Tabela134[[#This Row],[Espécie]],Tabela8[[#All],[Espécie]:[Nome fantasia]],4, FALSE), 0)</f>
        <v xml:space="preserve">Tubarões - 2º ciclo </v>
      </c>
      <c r="K270" s="165" t="s">
        <v>610</v>
      </c>
      <c r="L270" s="165" t="s">
        <v>610</v>
      </c>
    </row>
    <row r="271" spans="1:12" ht="19.5" customHeight="1">
      <c r="A271" s="175" t="s">
        <v>2320</v>
      </c>
      <c r="B271" s="147" t="s">
        <v>1815</v>
      </c>
      <c r="C271" s="152" t="str">
        <f>VLOOKUP(Tabela134[[#This Row],[Espécie]],Tabela2[[#All],[Espécie]:[Categoria de risco]],2,FALSE)</f>
        <v>cação-bruxa, tubarão-de-sete-fendas-pintado</v>
      </c>
      <c r="D271" s="179" t="str">
        <f>VLOOKUP(Tabela134[[#This Row],[Espécie]],Tabela2[[#All],[Espécie]:[Categoria de risco]],3,FALSE)</f>
        <v>Tubarões e Raias</v>
      </c>
      <c r="E271" s="152" t="str">
        <f>VLOOKUP(Tabela134[[#This Row],[Espécie]],Tabela2[[#All],[Espécie]:[Categoria de risco]],4,FALSE)</f>
        <v>Criticamente em Perigo</v>
      </c>
      <c r="F271" s="175" t="s">
        <v>2313</v>
      </c>
      <c r="G271" s="175" t="s">
        <v>2319</v>
      </c>
      <c r="H271" s="152" t="str">
        <f>VLOOKUP(Tabela134[[#This Row],[UC]],Tabela6[[#All],[UC]:[UF]],2,FALSE)</f>
        <v>SC</v>
      </c>
      <c r="I271" s="230" t="s">
        <v>592</v>
      </c>
      <c r="J271" s="192" t="str">
        <f>IFERROR(VLOOKUP(Tabela134[[#This Row],[Espécie]],Tabela8[[#All],[Espécie]:[Nome fantasia]],4, FALSE), 0)</f>
        <v xml:space="preserve">Tubarões - 2º ciclo </v>
      </c>
      <c r="K271" s="165" t="s">
        <v>610</v>
      </c>
      <c r="L271" s="165" t="s">
        <v>610</v>
      </c>
    </row>
    <row r="272" spans="1:12" ht="19.5" customHeight="1">
      <c r="A272" s="152" t="s">
        <v>590</v>
      </c>
      <c r="B272" s="171" t="s">
        <v>685</v>
      </c>
      <c r="C272" s="152" t="str">
        <f>VLOOKUP(Tabela134[[#This Row],[Espécie]],Tabela2[[#All],[Espécie]:[Categoria de risco]],2,FALSE)</f>
        <v>maçarico-de-bico-torto</v>
      </c>
      <c r="D272" s="152" t="str">
        <f>VLOOKUP(Tabela134[[#This Row],[Espécie]],Tabela2[[#All],[Espécie]:[Categoria de risco]],3,FALSE)</f>
        <v>Aves</v>
      </c>
      <c r="E272" s="152" t="str">
        <f>VLOOKUP(Tabela134[[#This Row],[Espécie]],Tabela2[[#All],[Espécie]:[Categoria de risco]],4,FALSE)</f>
        <v>Vulnerável</v>
      </c>
      <c r="G272" s="60" t="s">
        <v>680</v>
      </c>
      <c r="H272" s="152" t="str">
        <f>VLOOKUP(Tabela134[[#This Row],[UC]],Tabela6[[#All],[UC]:[UF]],2,FALSE)</f>
        <v>RS</v>
      </c>
      <c r="I272" s="230" t="s">
        <v>592</v>
      </c>
      <c r="J272" s="192" t="str">
        <f>IFERROR(VLOOKUP(Tabela134[[#This Row],[Espécie]],Tabela8[[#All],[Espécie]:[Nome fantasia]],4, FALSE), 0)</f>
        <v>Aves Limícolas Migratórias - 2º ciclo</v>
      </c>
      <c r="K272" s="165" t="s">
        <v>610</v>
      </c>
      <c r="L272" s="165" t="s">
        <v>592</v>
      </c>
    </row>
    <row r="273" spans="1:12" ht="19.5" customHeight="1">
      <c r="A273" s="152" t="s">
        <v>590</v>
      </c>
      <c r="B273" s="171" t="s">
        <v>716</v>
      </c>
      <c r="C273" s="152" t="str">
        <f>VLOOKUP(Tabela134[[#This Row],[Espécie]],Tabela2[[#All],[Espécie]:[Categoria de risco]],2,FALSE)</f>
        <v>Borboleta</v>
      </c>
      <c r="D273" s="152" t="str">
        <f>VLOOKUP(Tabela134[[#This Row],[Espécie]],Tabela2[[#All],[Espécie]:[Categoria de risco]],3,FALSE)</f>
        <v>Invertebrados Terrestres</v>
      </c>
      <c r="E273" s="152" t="str">
        <f>VLOOKUP(Tabela134[[#This Row],[Espécie]],Tabela2[[#All],[Espécie]:[Categoria de risco]],4,FALSE)</f>
        <v>Menos preocupante</v>
      </c>
      <c r="G273" s="60" t="s">
        <v>715</v>
      </c>
      <c r="H273" s="152" t="str">
        <f>VLOOKUP(Tabela134[[#This Row],[UC]],Tabela6[[#All],[UC]:[UF]],2,FALSE)</f>
        <v>PR</v>
      </c>
      <c r="I273" s="230" t="s">
        <v>610</v>
      </c>
      <c r="J273" s="192">
        <f>IFERROR(VLOOKUP(Tabela134[[#This Row],[Espécie]],Tabela8[[#All],[Espécie]:[Nome fantasia]],4, FALSE), 0)</f>
        <v>0</v>
      </c>
      <c r="K273" s="165" t="s">
        <v>592</v>
      </c>
      <c r="L273" s="165" t="s">
        <v>592</v>
      </c>
    </row>
    <row r="274" spans="1:12" ht="19.5" customHeight="1">
      <c r="A274" s="152" t="s">
        <v>590</v>
      </c>
      <c r="B274" s="173" t="s">
        <v>843</v>
      </c>
      <c r="C274" s="152" t="str">
        <f>VLOOKUP(Tabela134[[#This Row],[Espécie]],Tabela2[[#All],[Espécie]:[Categoria de risco]],2,FALSE)</f>
        <v>peixe-rei, peixe-rei-marinho</v>
      </c>
      <c r="D274" s="152" t="str">
        <f>VLOOKUP(Tabela134[[#This Row],[Espécie]],Tabela2[[#All],[Espécie]:[Categoria de risco]],3,FALSE)</f>
        <v>Peixes Marinhos (ósseos)</v>
      </c>
      <c r="E274" s="152" t="str">
        <f>VLOOKUP(Tabela134[[#This Row],[Espécie]],Tabela2[[#All],[Espécie]:[Categoria de risco]],4,FALSE)</f>
        <v>Dados insuficientes</v>
      </c>
      <c r="G274" s="60" t="s">
        <v>770</v>
      </c>
      <c r="H274" s="152" t="str">
        <f>VLOOKUP(Tabela134[[#This Row],[UC]],Tabela6[[#All],[UC]:[UF]],2,FALSE)</f>
        <v>RS</v>
      </c>
      <c r="I274" s="230" t="s">
        <v>610</v>
      </c>
      <c r="J274" s="192">
        <f>IFERROR(VLOOKUP(Tabela134[[#This Row],[Espécie]],Tabela8[[#All],[Espécie]:[Nome fantasia]],4, FALSE), 0)</f>
        <v>0</v>
      </c>
      <c r="K274" s="165" t="s">
        <v>592</v>
      </c>
      <c r="L274" s="165" t="s">
        <v>592</v>
      </c>
    </row>
    <row r="275" spans="1:12" ht="19.5" customHeight="1">
      <c r="A275" s="175" t="s">
        <v>2320</v>
      </c>
      <c r="B275" s="147" t="s">
        <v>1820</v>
      </c>
      <c r="C275" s="152" t="str">
        <f>VLOOKUP(Tabela134[[#This Row],[Espécie]],Tabela2[[#All],[Espécie]:[Categoria de risco]],2,FALSE)</f>
        <v>gastrópoda</v>
      </c>
      <c r="D275" s="179" t="str">
        <f>VLOOKUP(Tabela134[[#This Row],[Espécie]],Tabela2[[#All],[Espécie]:[Categoria de risco]],3,FALSE)</f>
        <v>Invertebrados Terrestres</v>
      </c>
      <c r="E275" s="152" t="str">
        <f>VLOOKUP(Tabela134[[#This Row],[Espécie]],Tabela2[[#All],[Espécie]:[Categoria de risco]],4,FALSE)</f>
        <v>Vulnerável</v>
      </c>
      <c r="F275" s="175" t="s">
        <v>2313</v>
      </c>
      <c r="G275" s="174" t="s">
        <v>613</v>
      </c>
      <c r="H275" s="152" t="str">
        <f>VLOOKUP(Tabela134[[#This Row],[UC]],Tabela6[[#All],[UC]:[UF]],2,FALSE)</f>
        <v>SP/PR</v>
      </c>
      <c r="I275" s="230" t="s">
        <v>610</v>
      </c>
      <c r="J275" s="192">
        <f>IFERROR(VLOOKUP(Tabela134[[#This Row],[Espécie]],Tabela8[[#All],[Espécie]:[Nome fantasia]],4, FALSE), 0)</f>
        <v>0</v>
      </c>
      <c r="K275" s="165" t="s">
        <v>610</v>
      </c>
      <c r="L275" s="165" t="s">
        <v>610</v>
      </c>
    </row>
    <row r="276" spans="1:12" ht="19.5" customHeight="1">
      <c r="A276" s="152" t="s">
        <v>590</v>
      </c>
      <c r="B276" s="173" t="s">
        <v>852</v>
      </c>
      <c r="C276" s="152" t="str">
        <f>VLOOKUP(Tabela134[[#This Row],[Espécie]],Tabela2[[#All],[Espécie]:[Categoria de risco]],2,FALSE)</f>
        <v>linguado, linguado-do-gancho, linguado-remo</v>
      </c>
      <c r="D276" s="152" t="str">
        <f>VLOOKUP(Tabela134[[#This Row],[Espécie]],Tabela2[[#All],[Espécie]:[Categoria de risco]],3,FALSE)</f>
        <v>Peixes Marinhos (ósseos)</v>
      </c>
      <c r="E276" s="152" t="str">
        <f>VLOOKUP(Tabela134[[#This Row],[Espécie]],Tabela2[[#All],[Espécie]:[Categoria de risco]],4,FALSE)</f>
        <v>Menos preocupante</v>
      </c>
      <c r="G276" s="60" t="s">
        <v>770</v>
      </c>
      <c r="H276" s="152" t="str">
        <f>VLOOKUP(Tabela134[[#This Row],[UC]],Tabela6[[#All],[UC]:[UF]],2,FALSE)</f>
        <v>RS</v>
      </c>
      <c r="I276" s="230" t="s">
        <v>610</v>
      </c>
      <c r="J276" s="192">
        <f>IFERROR(VLOOKUP(Tabela134[[#This Row],[Espécie]],Tabela8[[#All],[Espécie]:[Nome fantasia]],4, FALSE), 0)</f>
        <v>0</v>
      </c>
      <c r="K276" s="165" t="s">
        <v>592</v>
      </c>
      <c r="L276" s="165" t="s">
        <v>592</v>
      </c>
    </row>
    <row r="277" spans="1:12" ht="19.5" customHeight="1">
      <c r="A277" s="175" t="s">
        <v>2320</v>
      </c>
      <c r="B277" s="147" t="s">
        <v>1270</v>
      </c>
      <c r="C277" s="152" t="str">
        <f>VLOOKUP(Tabela134[[#This Row],[Espécie]],Tabela2[[#All],[Espécie]:[Categoria de risco]],2,FALSE)</f>
        <v>maria-leque-do-sudeste</v>
      </c>
      <c r="D277" s="179" t="str">
        <f>VLOOKUP(Tabela134[[#This Row],[Espécie]],Tabela2[[#All],[Espécie]:[Categoria de risco]],3,FALSE)</f>
        <v>Aves</v>
      </c>
      <c r="E277" s="152" t="str">
        <f>VLOOKUP(Tabela134[[#This Row],[Espécie]],Tabela2[[#All],[Espécie]:[Categoria de risco]],4,FALSE)</f>
        <v>Vulnerável</v>
      </c>
      <c r="F277" s="175" t="s">
        <v>2313</v>
      </c>
      <c r="G277" s="174" t="s">
        <v>613</v>
      </c>
      <c r="H277" s="152" t="str">
        <f>VLOOKUP(Tabela134[[#This Row],[UC]],Tabela6[[#All],[UC]:[UF]],2,FALSE)</f>
        <v>SP/PR</v>
      </c>
      <c r="I277" s="230" t="s">
        <v>592</v>
      </c>
      <c r="J277" s="192" t="str">
        <f>IFERROR(VLOOKUP(Tabela134[[#This Row],[Espécie]],Tabela8[[#All],[Espécie]:[Nome fantasia]],4, FALSE), 0)</f>
        <v>Aves da Mata Atlântica - 2º ciclo</v>
      </c>
      <c r="K277" s="165" t="s">
        <v>610</v>
      </c>
      <c r="L277" s="165" t="s">
        <v>610</v>
      </c>
    </row>
    <row r="278" spans="1:12" ht="19.5" customHeight="1">
      <c r="A278" s="152" t="s">
        <v>590</v>
      </c>
      <c r="B278" s="171" t="s">
        <v>733</v>
      </c>
      <c r="C278" s="152" t="str">
        <f>VLOOKUP(Tabela134[[#This Row],[Espécie]],Tabela2[[#All],[Espécie]:[Categoria de risco]],2,FALSE)</f>
        <v>estrela-do-mar</v>
      </c>
      <c r="D278" s="152" t="str">
        <f>VLOOKUP(Tabela134[[#This Row],[Espécie]],Tabela2[[#All],[Espécie]:[Categoria de risco]],3,FALSE)</f>
        <v>Invertebrados Marinhos</v>
      </c>
      <c r="E278" s="152" t="str">
        <f>VLOOKUP(Tabela134[[#This Row],[Espécie]],Tabela2[[#All],[Espécie]:[Categoria de risco]],4,FALSE)</f>
        <v>Vulnerável</v>
      </c>
      <c r="F278" s="172" t="s">
        <v>636</v>
      </c>
      <c r="G278" s="60" t="s">
        <v>730</v>
      </c>
      <c r="H278" s="152" t="str">
        <f>VLOOKUP(Tabela134[[#This Row],[UC]],Tabela6[[#All],[UC]:[UF]],2,FALSE)</f>
        <v>SC</v>
      </c>
      <c r="I278" s="230" t="s">
        <v>610</v>
      </c>
      <c r="J278" s="192">
        <f>IFERROR(VLOOKUP(Tabela134[[#This Row],[Espécie]],Tabela8[[#All],[Espécie]:[Nome fantasia]],4, FALSE), 0)</f>
        <v>0</v>
      </c>
      <c r="K278" s="165" t="s">
        <v>592</v>
      </c>
      <c r="L278" s="165" t="s">
        <v>592</v>
      </c>
    </row>
    <row r="279" spans="1:12" ht="19.5" customHeight="1">
      <c r="A279" s="152" t="s">
        <v>590</v>
      </c>
      <c r="B279" s="173" t="s">
        <v>855</v>
      </c>
      <c r="C279" s="152" t="str">
        <f>VLOOKUP(Tabela134[[#This Row],[Espécie]],Tabela2[[#All],[Espécie]:[Categoria de risco]],2,FALSE)</f>
        <v>corcoroca, corcoroca-de-lama, corcoroca-de-pedra</v>
      </c>
      <c r="D279" s="152" t="str">
        <f>VLOOKUP(Tabela134[[#This Row],[Espécie]],Tabela2[[#All],[Espécie]:[Categoria de risco]],3,FALSE)</f>
        <v>Peixes Marinhos (ósseos)</v>
      </c>
      <c r="E279" s="152" t="str">
        <f>VLOOKUP(Tabela134[[#This Row],[Espécie]],Tabela2[[#All],[Espécie]:[Categoria de risco]],4,FALSE)</f>
        <v>Menos preocupante</v>
      </c>
      <c r="G279" s="60" t="s">
        <v>770</v>
      </c>
      <c r="H279" s="152" t="str">
        <f>VLOOKUP(Tabela134[[#This Row],[UC]],Tabela6[[#All],[UC]:[UF]],2,FALSE)</f>
        <v>RS</v>
      </c>
      <c r="I279" s="230" t="s">
        <v>610</v>
      </c>
      <c r="J279" s="192">
        <f>IFERROR(VLOOKUP(Tabela134[[#This Row],[Espécie]],Tabela8[[#All],[Espécie]:[Nome fantasia]],4, FALSE), 0)</f>
        <v>0</v>
      </c>
      <c r="K279" s="165" t="s">
        <v>592</v>
      </c>
      <c r="L279" s="165" t="s">
        <v>592</v>
      </c>
    </row>
    <row r="280" spans="1:12" ht="19.5" customHeight="1">
      <c r="A280" s="152" t="s">
        <v>590</v>
      </c>
      <c r="B280" s="173" t="s">
        <v>780</v>
      </c>
      <c r="C280" s="152" t="str">
        <f>VLOOKUP(Tabela134[[#This Row],[Espécie]],Tabela2[[#All],[Espécie]:[Categoria de risco]],2,FALSE)</f>
        <v>Leão-marinho-do-sul, Leão-marinho-sul-americano</v>
      </c>
      <c r="D280" s="152" t="str">
        <f>VLOOKUP(Tabela134[[#This Row],[Espécie]],Tabela2[[#All],[Espécie]:[Categoria de risco]],3,FALSE)</f>
        <v>Mamíferos</v>
      </c>
      <c r="E280" s="152" t="str">
        <f>VLOOKUP(Tabela134[[#This Row],[Espécie]],Tabela2[[#All],[Espécie]:[Categoria de risco]],4,FALSE)</f>
        <v>Não aplicável</v>
      </c>
      <c r="G280" s="60" t="s">
        <v>770</v>
      </c>
      <c r="H280" s="152" t="str">
        <f>VLOOKUP(Tabela134[[#This Row],[UC]],Tabela6[[#All],[UC]:[UF]],2,FALSE)</f>
        <v>RS</v>
      </c>
      <c r="I280" s="230" t="s">
        <v>610</v>
      </c>
      <c r="J280" s="192">
        <f>IFERROR(VLOOKUP(Tabela134[[#This Row],[Espécie]],Tabela8[[#All],[Espécie]:[Nome fantasia]],4, FALSE), 0)</f>
        <v>0</v>
      </c>
      <c r="K280" s="165" t="s">
        <v>592</v>
      </c>
      <c r="L280" s="165" t="s">
        <v>592</v>
      </c>
    </row>
    <row r="281" spans="1:12" ht="19.5" customHeight="1">
      <c r="A281" s="152" t="s">
        <v>622</v>
      </c>
      <c r="B281" s="171" t="s">
        <v>858</v>
      </c>
      <c r="C281" s="152" t="str">
        <f>VLOOKUP(Tabela134[[#This Row],[Espécie]],Tabela2[[#All],[Espécie]:[Categoria de risco]],2,FALSE)</f>
        <v>Veado-campeiro; Veado-branco; Veado-galheiro</v>
      </c>
      <c r="D281" s="152" t="str">
        <f>VLOOKUP(Tabela134[[#This Row],[Espécie]],Tabela2[[#All],[Espécie]:[Categoria de risco]],3,FALSE)</f>
        <v>Mamíferos</v>
      </c>
      <c r="E281" s="152" t="str">
        <f>VLOOKUP(Tabela134[[#This Row],[Espécie]],Tabela2[[#All],[Espécie]:[Categoria de risco]],4,FALSE)</f>
        <v>Vulnerável</v>
      </c>
      <c r="G281" s="60" t="s">
        <v>857</v>
      </c>
      <c r="H281" s="152" t="str">
        <f>VLOOKUP(Tabela134[[#This Row],[UC]],Tabela6[[#All],[UC]:[UF]],2,FALSE)</f>
        <v>PR/SC</v>
      </c>
      <c r="I281" s="230" t="s">
        <v>592</v>
      </c>
      <c r="J281" s="192" t="str">
        <f>IFERROR(VLOOKUP(Tabela134[[#This Row],[Espécie]],Tabela8[[#All],[Espécie]:[Nome fantasia]],4, FALSE), 0)</f>
        <v>Ungulados</v>
      </c>
      <c r="K281" s="165" t="s">
        <v>592</v>
      </c>
      <c r="L281" s="165" t="s">
        <v>592</v>
      </c>
    </row>
    <row r="282" spans="1:12" ht="19.5" customHeight="1">
      <c r="A282" s="152" t="s">
        <v>590</v>
      </c>
      <c r="B282" s="173" t="s">
        <v>844</v>
      </c>
      <c r="C282" s="152" t="str">
        <f>VLOOKUP(Tabela134[[#This Row],[Espécie]],Tabela2[[#All],[Espécie]:[Categoria de risco]],2,FALSE)</f>
        <v>Pargo-rosa</v>
      </c>
      <c r="D282" s="152" t="str">
        <f>VLOOKUP(Tabela134[[#This Row],[Espécie]],Tabela2[[#All],[Espécie]:[Categoria de risco]],3,FALSE)</f>
        <v>Peixes Marinhos (ósseos)</v>
      </c>
      <c r="E282" s="152" t="str">
        <f>VLOOKUP(Tabela134[[#This Row],[Espécie]],Tabela2[[#All],[Espécie]:[Categoria de risco]],4,FALSE)</f>
        <v>Dados insuficientes</v>
      </c>
      <c r="G282" s="60" t="s">
        <v>770</v>
      </c>
      <c r="H282" s="152" t="str">
        <f>VLOOKUP(Tabela134[[#This Row],[UC]],Tabela6[[#All],[UC]:[UF]],2,FALSE)</f>
        <v>RS</v>
      </c>
      <c r="I282" s="230" t="s">
        <v>610</v>
      </c>
      <c r="J282" s="192">
        <f>IFERROR(VLOOKUP(Tabela134[[#This Row],[Espécie]],Tabela8[[#All],[Espécie]:[Nome fantasia]],4, FALSE), 0)</f>
        <v>0</v>
      </c>
      <c r="K282" s="165" t="s">
        <v>592</v>
      </c>
      <c r="L282" s="165" t="s">
        <v>592</v>
      </c>
    </row>
    <row r="283" spans="1:12" ht="19.5" customHeight="1">
      <c r="A283" s="175" t="s">
        <v>2320</v>
      </c>
      <c r="B283" s="147" t="s">
        <v>933</v>
      </c>
      <c r="C283" s="152" t="str">
        <f>VLOOKUP(Tabela134[[#This Row],[Espécie]],Tabela2[[#All],[Espécie]:[Categoria de risco]],2,FALSE)</f>
        <v>Borboleta</v>
      </c>
      <c r="D283" s="179" t="str">
        <f>VLOOKUP(Tabela134[[#This Row],[Espécie]],Tabela2[[#All],[Espécie]:[Categoria de risco]],3,FALSE)</f>
        <v>Invertebrados Terrestres</v>
      </c>
      <c r="E283" s="152" t="str">
        <f>VLOOKUP(Tabela134[[#This Row],[Espécie]],Tabela2[[#All],[Espécie]:[Categoria de risco]],4,FALSE)</f>
        <v>Em Perigo</v>
      </c>
      <c r="F283" s="175" t="s">
        <v>2313</v>
      </c>
      <c r="G283" s="174" t="s">
        <v>711</v>
      </c>
      <c r="H283" s="152" t="str">
        <f>VLOOKUP(Tabela134[[#This Row],[UC]],Tabela6[[#All],[UC]:[UF]],2,FALSE)</f>
        <v>SC</v>
      </c>
      <c r="I283" s="230" t="s">
        <v>592</v>
      </c>
      <c r="J283" s="192" t="str">
        <f>IFERROR(VLOOKUP(Tabela134[[#This Row],[Espécie]],Tabela8[[#All],[Espécie]:[Nome fantasia]],4, FALSE), 0)</f>
        <v>Insetos Polinizadores</v>
      </c>
      <c r="K283" s="165" t="s">
        <v>610</v>
      </c>
      <c r="L283" s="165" t="s">
        <v>610</v>
      </c>
    </row>
    <row r="284" spans="1:12" ht="19.5" customHeight="1">
      <c r="A284" s="152" t="s">
        <v>590</v>
      </c>
      <c r="B284" s="171" t="s">
        <v>424</v>
      </c>
      <c r="C284" s="152" t="str">
        <f>VLOOKUP(Tabela134[[#This Row],[Espécie]],Tabela2[[#All],[Espécie]:[Categoria de risco]],2,FALSE)</f>
        <v>Canguçu, Onça-pintada, Onça-preta</v>
      </c>
      <c r="D284" s="152" t="str">
        <f>VLOOKUP(Tabela134[[#This Row],[Espécie]],Tabela2[[#All],[Espécie]:[Categoria de risco]],3,FALSE)</f>
        <v>Mamíferos</v>
      </c>
      <c r="E284" s="152" t="str">
        <f>VLOOKUP(Tabela134[[#This Row],[Espécie]],Tabela2[[#All],[Espécie]:[Categoria de risco]],4,FALSE)</f>
        <v>Vulnerável</v>
      </c>
      <c r="G284" s="60" t="s">
        <v>602</v>
      </c>
      <c r="H284" s="152" t="str">
        <f>VLOOKUP(Tabela134[[#This Row],[UC]],Tabela6[[#All],[UC]:[UF]],2,FALSE)</f>
        <v>SP/PR/MS</v>
      </c>
      <c r="I284" s="230" t="s">
        <v>610</v>
      </c>
      <c r="J284" s="192">
        <f>IFERROR(VLOOKUP(Tabela134[[#This Row],[Espécie]],Tabela8[[#All],[Espécie]:[Nome fantasia]],4, FALSE), 0)</f>
        <v>0</v>
      </c>
      <c r="K284" s="165" t="s">
        <v>592</v>
      </c>
      <c r="L284" s="165" t="s">
        <v>592</v>
      </c>
    </row>
    <row r="285" spans="1:12" ht="19.5" customHeight="1">
      <c r="A285" s="152" t="s">
        <v>590</v>
      </c>
      <c r="B285" s="171" t="s">
        <v>424</v>
      </c>
      <c r="C285" s="152" t="str">
        <f>VLOOKUP(Tabela134[[#This Row],[Espécie]],Tabela2[[#All],[Espécie]:[Categoria de risco]],2,FALSE)</f>
        <v>Canguçu, Onça-pintada, Onça-preta</v>
      </c>
      <c r="D285" s="152" t="str">
        <f>VLOOKUP(Tabela134[[#This Row],[Espécie]],Tabela2[[#All],[Espécie]:[Categoria de risco]],3,FALSE)</f>
        <v>Mamíferos</v>
      </c>
      <c r="E285" s="152" t="str">
        <f>VLOOKUP(Tabela134[[#This Row],[Espécie]],Tabela2[[#All],[Espécie]:[Categoria de risco]],4,FALSE)</f>
        <v>Vulnerável</v>
      </c>
      <c r="G285" s="60" t="s">
        <v>703</v>
      </c>
      <c r="H285" s="152" t="str">
        <f>VLOOKUP(Tabela134[[#This Row],[UC]],Tabela6[[#All],[UC]:[UF]],2,FALSE)</f>
        <v>MS/PR</v>
      </c>
      <c r="I285" s="230" t="s">
        <v>610</v>
      </c>
      <c r="J285" s="192">
        <f>IFERROR(VLOOKUP(Tabela134[[#This Row],[Espécie]],Tabela8[[#All],[Espécie]:[Nome fantasia]],4, FALSE), 0)</f>
        <v>0</v>
      </c>
      <c r="K285" s="165" t="s">
        <v>592</v>
      </c>
      <c r="L285" s="165" t="s">
        <v>592</v>
      </c>
    </row>
    <row r="286" spans="1:12" ht="19.5" customHeight="1">
      <c r="A286" s="152" t="s">
        <v>590</v>
      </c>
      <c r="B286" s="171" t="s">
        <v>424</v>
      </c>
      <c r="C286" s="152" t="str">
        <f>VLOOKUP(Tabela134[[#This Row],[Espécie]],Tabela2[[#All],[Espécie]:[Categoria de risco]],2,FALSE)</f>
        <v>Canguçu, Onça-pintada, Onça-preta</v>
      </c>
      <c r="D286" s="152" t="str">
        <f>VLOOKUP(Tabela134[[#This Row],[Espécie]],Tabela2[[#All],[Espécie]:[Categoria de risco]],3,FALSE)</f>
        <v>Mamíferos</v>
      </c>
      <c r="E286" s="152" t="str">
        <f>VLOOKUP(Tabela134[[#This Row],[Espécie]],Tabela2[[#All],[Espécie]:[Categoria de risco]],4,FALSE)</f>
        <v>Vulnerável</v>
      </c>
      <c r="G286" s="60" t="s">
        <v>715</v>
      </c>
      <c r="H286" s="152" t="str">
        <f>VLOOKUP(Tabela134[[#This Row],[UC]],Tabela6[[#All],[UC]:[UF]],2,FALSE)</f>
        <v>PR</v>
      </c>
      <c r="I286" s="230" t="s">
        <v>610</v>
      </c>
      <c r="J286" s="192">
        <f>IFERROR(VLOOKUP(Tabela134[[#This Row],[Espécie]],Tabela8[[#All],[Espécie]:[Nome fantasia]],4, FALSE), 0)</f>
        <v>0</v>
      </c>
      <c r="K286" s="165" t="s">
        <v>592</v>
      </c>
      <c r="L286" s="165" t="s">
        <v>592</v>
      </c>
    </row>
    <row r="287" spans="1:12" ht="19.5" customHeight="1">
      <c r="A287" s="152" t="s">
        <v>622</v>
      </c>
      <c r="B287" s="171" t="s">
        <v>424</v>
      </c>
      <c r="C287" s="152" t="str">
        <f>VLOOKUP(Tabela134[[#This Row],[Espécie]],Tabela2[[#All],[Espécie]:[Categoria de risco]],2,FALSE)</f>
        <v>Canguçu, Onça-pintada, Onça-preta</v>
      </c>
      <c r="D287" s="152" t="str">
        <f>VLOOKUP(Tabela134[[#This Row],[Espécie]],Tabela2[[#All],[Espécie]:[Categoria de risco]],3,FALSE)</f>
        <v>Mamíferos</v>
      </c>
      <c r="E287" s="152" t="str">
        <f>VLOOKUP(Tabela134[[#This Row],[Espécie]],Tabela2[[#All],[Espécie]:[Categoria de risco]],4,FALSE)</f>
        <v>Vulnerável</v>
      </c>
      <c r="G287" s="60" t="s">
        <v>725</v>
      </c>
      <c r="H287" s="152" t="str">
        <f>VLOOKUP(Tabela134[[#This Row],[UC]],Tabela6[[#All],[UC]:[UF]],2,FALSE)</f>
        <v>PR</v>
      </c>
      <c r="I287" s="230" t="s">
        <v>610</v>
      </c>
      <c r="J287" s="192">
        <f>IFERROR(VLOOKUP(Tabela134[[#This Row],[Espécie]],Tabela8[[#All],[Espécie]:[Nome fantasia]],4, FALSE), 0)</f>
        <v>0</v>
      </c>
      <c r="K287" s="165" t="s">
        <v>592</v>
      </c>
      <c r="L287" s="165" t="s">
        <v>592</v>
      </c>
    </row>
    <row r="288" spans="1:12" ht="19.5" customHeight="1">
      <c r="A288" s="152" t="s">
        <v>622</v>
      </c>
      <c r="B288" s="171" t="s">
        <v>424</v>
      </c>
      <c r="C288" s="152" t="str">
        <f>VLOOKUP(Tabela134[[#This Row],[Espécie]],Tabela2[[#All],[Espécie]:[Categoria de risco]],2,FALSE)</f>
        <v>Canguçu, Onça-pintada, Onça-preta</v>
      </c>
      <c r="D288" s="152" t="str">
        <f>VLOOKUP(Tabela134[[#This Row],[Espécie]],Tabela2[[#All],[Espécie]:[Categoria de risco]],3,FALSE)</f>
        <v>Mamíferos</v>
      </c>
      <c r="E288" s="152" t="str">
        <f>VLOOKUP(Tabela134[[#This Row],[Espécie]],Tabela2[[#All],[Espécie]:[Categoria de risco]],4,FALSE)</f>
        <v>Vulnerável</v>
      </c>
      <c r="G288" s="60" t="s">
        <v>728</v>
      </c>
      <c r="H288" s="152" t="str">
        <f>VLOOKUP(Tabela134[[#This Row],[UC]],Tabela6[[#All],[UC]:[UF]],2,FALSE)</f>
        <v>PR/SC</v>
      </c>
      <c r="I288" s="230" t="s">
        <v>610</v>
      </c>
      <c r="J288" s="192">
        <f>IFERROR(VLOOKUP(Tabela134[[#This Row],[Espécie]],Tabela8[[#All],[Espécie]:[Nome fantasia]],4, FALSE), 0)</f>
        <v>0</v>
      </c>
      <c r="K288" s="165" t="s">
        <v>592</v>
      </c>
      <c r="L288" s="165" t="s">
        <v>592</v>
      </c>
    </row>
    <row r="289" spans="1:12" ht="19.5" customHeight="1">
      <c r="A289" s="152" t="s">
        <v>590</v>
      </c>
      <c r="B289" s="171" t="s">
        <v>720</v>
      </c>
      <c r="C289" s="152" t="str">
        <f>VLOOKUP(Tabela134[[#This Row],[Espécie]],Tabela2[[#All],[Espécie]:[Categoria de risco]],2,FALSE)</f>
        <v>ouriço-do-mar</v>
      </c>
      <c r="D289" s="152" t="str">
        <f>VLOOKUP(Tabela134[[#This Row],[Espécie]],Tabela2[[#All],[Espécie]:[Categoria de risco]],3,FALSE)</f>
        <v>Invertebrados Marinhos</v>
      </c>
      <c r="E289" s="152" t="str">
        <f>VLOOKUP(Tabela134[[#This Row],[Espécie]],Tabela2[[#All],[Espécie]:[Categoria de risco]],4,FALSE)</f>
        <v>Menos preocupante</v>
      </c>
      <c r="G289" s="60" t="s">
        <v>718</v>
      </c>
      <c r="H289" s="152" t="str">
        <f>VLOOKUP(Tabela134[[#This Row],[UC]],Tabela6[[#All],[UC]:[UF]],2,FALSE)</f>
        <v>SP/PR</v>
      </c>
      <c r="I289" s="230" t="s">
        <v>610</v>
      </c>
      <c r="J289" s="192">
        <f>IFERROR(VLOOKUP(Tabela134[[#This Row],[Espécie]],Tabela8[[#All],[Espécie]:[Nome fantasia]],4, FALSE), 0)</f>
        <v>0</v>
      </c>
      <c r="K289" s="165" t="s">
        <v>592</v>
      </c>
      <c r="L289" s="165" t="s">
        <v>592</v>
      </c>
    </row>
    <row r="290" spans="1:12" ht="19.5" customHeight="1">
      <c r="A290" s="152" t="s">
        <v>590</v>
      </c>
      <c r="B290" s="173" t="s">
        <v>617</v>
      </c>
      <c r="C290" s="152" t="str">
        <f>VLOOKUP(Tabela134[[#This Row],[Espécie]],Tabela2[[#All],[Espécie]:[Categoria de risco]],2,FALSE)</f>
        <v>pararu-espelho</v>
      </c>
      <c r="D290" s="152" t="str">
        <f>VLOOKUP(Tabela134[[#This Row],[Espécie]],Tabela2[[#All],[Espécie]:[Categoria de risco]],3,FALSE)</f>
        <v>Aves</v>
      </c>
      <c r="E290" s="152" t="str">
        <f>VLOOKUP(Tabela134[[#This Row],[Espécie]],Tabela2[[#All],[Espécie]:[Categoria de risco]],4,FALSE)</f>
        <v>Criticamente em Perigo</v>
      </c>
      <c r="F290" s="152" t="s">
        <v>618</v>
      </c>
      <c r="G290" s="60" t="s">
        <v>613</v>
      </c>
      <c r="H290" s="152" t="str">
        <f>VLOOKUP(Tabela134[[#This Row],[UC]],Tabela6[[#All],[UC]:[UF]],2,FALSE)</f>
        <v>SP/PR</v>
      </c>
      <c r="I290" s="230" t="s">
        <v>592</v>
      </c>
      <c r="J290" s="192" t="str">
        <f>IFERROR(VLOOKUP(Tabela134[[#This Row],[Espécie]],Tabela8[[#All],[Espécie]:[Nome fantasia]],4, FALSE), 0)</f>
        <v>Aves da Mata Atlântica - 2º ciclo</v>
      </c>
      <c r="K290" s="165" t="s">
        <v>592</v>
      </c>
      <c r="L290" s="165" t="s">
        <v>592</v>
      </c>
    </row>
    <row r="291" spans="1:12" ht="19.5" customHeight="1">
      <c r="A291" s="152" t="s">
        <v>590</v>
      </c>
      <c r="B291" s="173" t="s">
        <v>822</v>
      </c>
      <c r="C291" s="152" t="str">
        <f>VLOOKUP(Tabela134[[#This Row],[Espécie]],Tabela2[[#All],[Espécie]:[Categoria de risco]],2,FALSE)</f>
        <v>canguá, coroque, juruna, maria-luiza</v>
      </c>
      <c r="D291" s="152" t="str">
        <f>VLOOKUP(Tabela134[[#This Row],[Espécie]],Tabela2[[#All],[Espécie]:[Categoria de risco]],3,FALSE)</f>
        <v>Peixes Marinhos (ósseos)</v>
      </c>
      <c r="E291" s="152" t="str">
        <f>VLOOKUP(Tabela134[[#This Row],[Espécie]],Tabela2[[#All],[Espécie]:[Categoria de risco]],4,FALSE)</f>
        <v>Menos preocupante</v>
      </c>
      <c r="G291" s="60" t="s">
        <v>770</v>
      </c>
      <c r="H291" s="152" t="str">
        <f>VLOOKUP(Tabela134[[#This Row],[UC]],Tabela6[[#All],[UC]:[UF]],2,FALSE)</f>
        <v>RS</v>
      </c>
      <c r="I291" s="230" t="s">
        <v>610</v>
      </c>
      <c r="J291" s="192">
        <f>IFERROR(VLOOKUP(Tabela134[[#This Row],[Espécie]],Tabela8[[#All],[Espécie]:[Nome fantasia]],4, FALSE), 0)</f>
        <v>0</v>
      </c>
      <c r="K291" s="165" t="s">
        <v>592</v>
      </c>
      <c r="L291" s="165" t="s">
        <v>592</v>
      </c>
    </row>
    <row r="292" spans="1:12" ht="19.5" customHeight="1">
      <c r="A292" s="175" t="s">
        <v>2320</v>
      </c>
      <c r="B292" s="147" t="s">
        <v>1824</v>
      </c>
      <c r="C292" s="152" t="str">
        <f>VLOOKUP(Tabela134[[#This Row],[Espécie]],Tabela2[[#All],[Espécie]:[Categoria de risco]],2,FALSE)</f>
        <v>Borboleta, rabo-de-andorinha</v>
      </c>
      <c r="D292" s="179" t="str">
        <f>VLOOKUP(Tabela134[[#This Row],[Espécie]],Tabela2[[#All],[Espécie]:[Categoria de risco]],3,FALSE)</f>
        <v>Invertebrados Terrestres</v>
      </c>
      <c r="E292" s="152" t="str">
        <f>VLOOKUP(Tabela134[[#This Row],[Espécie]],Tabela2[[#All],[Espécie]:[Categoria de risco]],4,FALSE)</f>
        <v>Em Perigo</v>
      </c>
      <c r="F292" s="175" t="s">
        <v>2313</v>
      </c>
      <c r="G292" s="174" t="s">
        <v>725</v>
      </c>
      <c r="H292" s="152" t="str">
        <f>VLOOKUP(Tabela134[[#This Row],[UC]],Tabela6[[#All],[UC]:[UF]],2,FALSE)</f>
        <v>PR</v>
      </c>
      <c r="I292" s="230" t="s">
        <v>592</v>
      </c>
      <c r="J292" s="192" t="str">
        <f>IFERROR(VLOOKUP(Tabela134[[#This Row],[Espécie]],Tabela8[[#All],[Espécie]:[Nome fantasia]],4, FALSE), 0)</f>
        <v>Insetos Polinizadores</v>
      </c>
      <c r="K292" s="165" t="s">
        <v>610</v>
      </c>
      <c r="L292" s="165" t="s">
        <v>610</v>
      </c>
    </row>
    <row r="293" spans="1:12" ht="19.5" customHeight="1">
      <c r="A293" s="152" t="s">
        <v>590</v>
      </c>
      <c r="B293" s="173" t="s">
        <v>848</v>
      </c>
      <c r="C293" s="152" t="str">
        <f>VLOOKUP(Tabela134[[#This Row],[Espécie]],Tabela2[[#All],[Espécie]:[Categoria de risco]],2,FALSE)</f>
        <v>Gordinho</v>
      </c>
      <c r="D293" s="152" t="str">
        <f>VLOOKUP(Tabela134[[#This Row],[Espécie]],Tabela2[[#All],[Espécie]:[Categoria de risco]],3,FALSE)</f>
        <v>Peixes Marinhos (ósseos)</v>
      </c>
      <c r="E293" s="152" t="str">
        <f>VLOOKUP(Tabela134[[#This Row],[Espécie]],Tabela2[[#All],[Espécie]:[Categoria de risco]],4,FALSE)</f>
        <v>Dados insuficientes</v>
      </c>
      <c r="F293" s="64" t="s">
        <v>2256</v>
      </c>
      <c r="G293" s="60" t="s">
        <v>770</v>
      </c>
      <c r="H293" s="152" t="str">
        <f>VLOOKUP(Tabela134[[#This Row],[UC]],Tabela6[[#All],[UC]:[UF]],2,FALSE)</f>
        <v>RS</v>
      </c>
      <c r="I293" s="230" t="s">
        <v>610</v>
      </c>
      <c r="J293" s="192">
        <f>IFERROR(VLOOKUP(Tabela134[[#This Row],[Espécie]],Tabela8[[#All],[Espécie]:[Nome fantasia]],4, FALSE), 0)</f>
        <v>0</v>
      </c>
      <c r="K293" s="165" t="s">
        <v>592</v>
      </c>
      <c r="L293" s="165" t="s">
        <v>592</v>
      </c>
    </row>
    <row r="294" spans="1:12" ht="19.5" customHeight="1">
      <c r="A294" s="152" t="s">
        <v>590</v>
      </c>
      <c r="B294" s="171" t="s">
        <v>611</v>
      </c>
      <c r="C294" s="152" t="str">
        <f>VLOOKUP(Tabela134[[#This Row],[Espécie]],Tabela2[[#All],[Espécie]:[Categoria de risco]],2,FALSE)</f>
        <v>maria-da-restinga</v>
      </c>
      <c r="D294" s="152" t="str">
        <f>VLOOKUP(Tabela134[[#This Row],[Espécie]],Tabela2[[#All],[Espécie]:[Categoria de risco]],3,FALSE)</f>
        <v>Aves</v>
      </c>
      <c r="E294" s="152" t="str">
        <f>VLOOKUP(Tabela134[[#This Row],[Espécie]],Tabela2[[#All],[Espécie]:[Categoria de risco]],4,FALSE)</f>
        <v>Menos preocupante</v>
      </c>
      <c r="G294" s="60" t="s">
        <v>2322</v>
      </c>
      <c r="H294" s="152" t="str">
        <f>VLOOKUP(Tabela134[[#This Row],[UC]],Tabela6[[#All],[UC]:[UF]],2,FALSE)</f>
        <v>SC</v>
      </c>
      <c r="I294" s="230" t="s">
        <v>610</v>
      </c>
      <c r="J294" s="192">
        <f>IFERROR(VLOOKUP(Tabela134[[#This Row],[Espécie]],Tabela8[[#All],[Espécie]:[Nome fantasia]],4, FALSE), 0)</f>
        <v>0</v>
      </c>
      <c r="K294" s="165" t="s">
        <v>610</v>
      </c>
      <c r="L294" s="165" t="s">
        <v>610</v>
      </c>
    </row>
    <row r="295" spans="1:12" ht="19.5" customHeight="1">
      <c r="A295" s="152" t="s">
        <v>590</v>
      </c>
      <c r="B295" s="171" t="s">
        <v>611</v>
      </c>
      <c r="C295" s="152" t="str">
        <f>VLOOKUP(Tabela134[[#This Row],[Espécie]],Tabela2[[#All],[Espécie]:[Categoria de risco]],2,FALSE)</f>
        <v>maria-da-restinga</v>
      </c>
      <c r="D295" s="152" t="str">
        <f>VLOOKUP(Tabela134[[#This Row],[Espécie]],Tabela2[[#All],[Espécie]:[Categoria de risco]],3,FALSE)</f>
        <v>Aves</v>
      </c>
      <c r="E295" s="152" t="str">
        <f>VLOOKUP(Tabela134[[#This Row],[Espécie]],Tabela2[[#All],[Espécie]:[Categoria de risco]],4,FALSE)</f>
        <v>Menos preocupante</v>
      </c>
      <c r="G295" s="60" t="s">
        <v>688</v>
      </c>
      <c r="H295" s="152" t="str">
        <f>VLOOKUP(Tabela134[[#This Row],[UC]],Tabela6[[#All],[UC]:[UF]],2,FALSE)</f>
        <v>SC</v>
      </c>
      <c r="I295" s="230" t="s">
        <v>610</v>
      </c>
      <c r="J295" s="192">
        <f>IFERROR(VLOOKUP(Tabela134[[#This Row],[Espécie]],Tabela8[[#All],[Espécie]:[Nome fantasia]],4, FALSE), 0)</f>
        <v>0</v>
      </c>
      <c r="K295" s="165" t="s">
        <v>610</v>
      </c>
      <c r="L295" s="165" t="s">
        <v>592</v>
      </c>
    </row>
    <row r="296" spans="1:12" ht="19.5" customHeight="1">
      <c r="A296" s="152" t="s">
        <v>590</v>
      </c>
      <c r="B296" s="171" t="s">
        <v>611</v>
      </c>
      <c r="C296" s="152" t="str">
        <f>VLOOKUP(Tabela134[[#This Row],[Espécie]],Tabela2[[#All],[Espécie]:[Categoria de risco]],2,FALSE)</f>
        <v>maria-da-restinga</v>
      </c>
      <c r="D296" s="152" t="str">
        <f>VLOOKUP(Tabela134[[#This Row],[Espécie]],Tabela2[[#All],[Espécie]:[Categoria de risco]],3,FALSE)</f>
        <v>Aves</v>
      </c>
      <c r="E296" s="152" t="str">
        <f>VLOOKUP(Tabela134[[#This Row],[Espécie]],Tabela2[[#All],[Espécie]:[Categoria de risco]],4,FALSE)</f>
        <v>Menos preocupante</v>
      </c>
      <c r="G296" s="60" t="s">
        <v>709</v>
      </c>
      <c r="H296" s="152" t="str">
        <f>VLOOKUP(Tabela134[[#This Row],[UC]],Tabela6[[#All],[UC]:[UF]],2,FALSE)</f>
        <v>PR</v>
      </c>
      <c r="I296" s="230" t="s">
        <v>610</v>
      </c>
      <c r="J296" s="192">
        <f>IFERROR(VLOOKUP(Tabela134[[#This Row],[Espécie]],Tabela8[[#All],[Espécie]:[Nome fantasia]],4, FALSE), 0)</f>
        <v>0</v>
      </c>
      <c r="K296" s="165" t="s">
        <v>610</v>
      </c>
      <c r="L296" s="165" t="s">
        <v>592</v>
      </c>
    </row>
    <row r="297" spans="1:12" ht="19.5" customHeight="1">
      <c r="A297" s="175" t="s">
        <v>2320</v>
      </c>
      <c r="B297" s="147" t="s">
        <v>1634</v>
      </c>
      <c r="C297" s="152" t="str">
        <f>VLOOKUP(Tabela134[[#This Row],[Espécie]],Tabela2[[#All],[Espécie]:[Categoria de risco]],2,FALSE)</f>
        <v>Cachalote</v>
      </c>
      <c r="D297" s="179" t="str">
        <f>VLOOKUP(Tabela134[[#This Row],[Espécie]],Tabela2[[#All],[Espécie]:[Categoria de risco]],3,FALSE)</f>
        <v>Mamíferos</v>
      </c>
      <c r="E297" s="152" t="str">
        <f>VLOOKUP(Tabela134[[#This Row],[Espécie]],Tabela2[[#All],[Espécie]:[Categoria de risco]],4,FALSE)</f>
        <v>Vulnerável</v>
      </c>
      <c r="F297" s="175" t="s">
        <v>2313</v>
      </c>
      <c r="G297" s="174" t="s">
        <v>91</v>
      </c>
      <c r="H297" s="152" t="str">
        <f>VLOOKUP(Tabela134[[#This Row],[UC]],Tabela6[[#All],[UC]:[UF]],2,FALSE)</f>
        <v>SC</v>
      </c>
      <c r="I297" s="230" t="s">
        <v>592</v>
      </c>
      <c r="J297" s="192" t="str">
        <f>IFERROR(VLOOKUP(Tabela134[[#This Row],[Espécie]],Tabela8[[#All],[Espécie]:[Nome fantasia]],4, FALSE), 0)</f>
        <v>Cetáceos Marinhos</v>
      </c>
      <c r="K297" s="165" t="s">
        <v>610</v>
      </c>
      <c r="L297" s="165" t="s">
        <v>610</v>
      </c>
    </row>
    <row r="298" spans="1:12" ht="19.5" customHeight="1">
      <c r="A298" s="175" t="s">
        <v>2320</v>
      </c>
      <c r="B298" s="147" t="s">
        <v>1634</v>
      </c>
      <c r="C298" s="152" t="str">
        <f>VLOOKUP(Tabela134[[#This Row],[Espécie]],Tabela2[[#All],[Espécie]:[Categoria de risco]],2,FALSE)</f>
        <v>Cachalote</v>
      </c>
      <c r="D298" s="179" t="str">
        <f>VLOOKUP(Tabela134[[#This Row],[Espécie]],Tabela2[[#All],[Espécie]:[Categoria de risco]],3,FALSE)</f>
        <v>Mamíferos</v>
      </c>
      <c r="E298" s="152" t="str">
        <f>VLOOKUP(Tabela134[[#This Row],[Espécie]],Tabela2[[#All],[Espécie]:[Categoria de risco]],4,FALSE)</f>
        <v>Vulnerável</v>
      </c>
      <c r="F298" s="175" t="s">
        <v>2313</v>
      </c>
      <c r="G298" s="174" t="s">
        <v>730</v>
      </c>
      <c r="H298" s="152" t="str">
        <f>VLOOKUP(Tabela134[[#This Row],[UC]],Tabela6[[#All],[UC]:[UF]],2,FALSE)</f>
        <v>SC</v>
      </c>
      <c r="I298" s="230" t="s">
        <v>592</v>
      </c>
      <c r="J298" s="192" t="str">
        <f>IFERROR(VLOOKUP(Tabela134[[#This Row],[Espécie]],Tabela8[[#All],[Espécie]:[Nome fantasia]],4, FALSE), 0)</f>
        <v>Cetáceos Marinhos</v>
      </c>
      <c r="K298" s="165" t="s">
        <v>610</v>
      </c>
      <c r="L298" s="165" t="s">
        <v>610</v>
      </c>
    </row>
    <row r="299" spans="1:12" ht="19.5" customHeight="1">
      <c r="A299" s="175" t="s">
        <v>2320</v>
      </c>
      <c r="B299" s="147" t="s">
        <v>1634</v>
      </c>
      <c r="C299" s="152" t="str">
        <f>VLOOKUP(Tabela134[[#This Row],[Espécie]],Tabela2[[#All],[Espécie]:[Categoria de risco]],2,FALSE)</f>
        <v>Cachalote</v>
      </c>
      <c r="D299" s="179" t="str">
        <f>VLOOKUP(Tabela134[[#This Row],[Espécie]],Tabela2[[#All],[Espécie]:[Categoria de risco]],3,FALSE)</f>
        <v>Mamíferos</v>
      </c>
      <c r="E299" s="152" t="str">
        <f>VLOOKUP(Tabela134[[#This Row],[Espécie]],Tabela2[[#All],[Espécie]:[Categoria de risco]],4,FALSE)</f>
        <v>Vulnerável</v>
      </c>
      <c r="F299" s="175" t="s">
        <v>2313</v>
      </c>
      <c r="G299" s="174" t="s">
        <v>2319</v>
      </c>
      <c r="H299" s="152" t="str">
        <f>VLOOKUP(Tabela134[[#This Row],[UC]],Tabela6[[#All],[UC]:[UF]],2,FALSE)</f>
        <v>SC</v>
      </c>
      <c r="I299" s="230" t="s">
        <v>592</v>
      </c>
      <c r="J299" s="192" t="str">
        <f>IFERROR(VLOOKUP(Tabela134[[#This Row],[Espécie]],Tabela8[[#All],[Espécie]:[Nome fantasia]],4, FALSE), 0)</f>
        <v>Cetáceos Marinhos</v>
      </c>
      <c r="K299" s="165" t="s">
        <v>610</v>
      </c>
      <c r="L299" s="165" t="s">
        <v>610</v>
      </c>
    </row>
    <row r="300" spans="1:12" ht="19.5" customHeight="1">
      <c r="A300" s="152" t="s">
        <v>590</v>
      </c>
      <c r="B300" s="171" t="s">
        <v>675</v>
      </c>
      <c r="C300" s="152" t="str">
        <f>VLOOKUP(Tabela134[[#This Row],[Espécie]],Tabela2[[#All],[Espécie]:[Categoria de risco]],2,FALSE)</f>
        <v>caneleirinho-de-chapéu-preto</v>
      </c>
      <c r="D300" s="152" t="str">
        <f>VLOOKUP(Tabela134[[#This Row],[Espécie]],Tabela2[[#All],[Espécie]:[Categoria de risco]],3,FALSE)</f>
        <v>Aves</v>
      </c>
      <c r="E300" s="152" t="str">
        <f>VLOOKUP(Tabela134[[#This Row],[Espécie]],Tabela2[[#All],[Espécie]:[Categoria de risco]],4,FALSE)</f>
        <v>Menos preocupante</v>
      </c>
      <c r="F300" s="172" t="s">
        <v>674</v>
      </c>
      <c r="G300" s="60" t="s">
        <v>670</v>
      </c>
      <c r="H300" s="152" t="str">
        <f>VLOOKUP(Tabela134[[#This Row],[UC]],Tabela6[[#All],[UC]:[UF]],2,FALSE)</f>
        <v>RS</v>
      </c>
      <c r="I300" s="230" t="s">
        <v>610</v>
      </c>
      <c r="J300" s="192">
        <f>IFERROR(VLOOKUP(Tabela134[[#This Row],[Espécie]],Tabela8[[#All],[Espécie]:[Nome fantasia]],4, FALSE), 0)</f>
        <v>0</v>
      </c>
      <c r="K300" s="165" t="s">
        <v>592</v>
      </c>
      <c r="L300" s="165" t="s">
        <v>610</v>
      </c>
    </row>
    <row r="301" spans="1:12" ht="19.5" customHeight="1">
      <c r="A301" s="152" t="s">
        <v>590</v>
      </c>
      <c r="B301" s="171" t="s">
        <v>675</v>
      </c>
      <c r="C301" s="152" t="str">
        <f>VLOOKUP(Tabela134[[#This Row],[Espécie]],Tabela2[[#All],[Espécie]:[Categoria de risco]],2,FALSE)</f>
        <v>caneleirinho-de-chapéu-preto</v>
      </c>
      <c r="D301" s="152" t="str">
        <f>VLOOKUP(Tabela134[[#This Row],[Espécie]],Tabela2[[#All],[Espécie]:[Categoria de risco]],3,FALSE)</f>
        <v>Aves</v>
      </c>
      <c r="E301" s="152" t="str">
        <f>VLOOKUP(Tabela134[[#This Row],[Espécie]],Tabela2[[#All],[Espécie]:[Categoria de risco]],4,FALSE)</f>
        <v>Menos preocupante</v>
      </c>
      <c r="F301" s="172" t="s">
        <v>674</v>
      </c>
      <c r="G301" s="60" t="s">
        <v>700</v>
      </c>
      <c r="H301" s="152" t="str">
        <f>VLOOKUP(Tabela134[[#This Row],[UC]],Tabela6[[#All],[UC]:[UF]],2,FALSE)</f>
        <v>SC/RS</v>
      </c>
      <c r="I301" s="230" t="s">
        <v>610</v>
      </c>
      <c r="J301" s="192">
        <f>IFERROR(VLOOKUP(Tabela134[[#This Row],[Espécie]],Tabela8[[#All],[Espécie]:[Nome fantasia]],4, FALSE), 0)</f>
        <v>0</v>
      </c>
      <c r="K301" s="165" t="s">
        <v>610</v>
      </c>
      <c r="L301" s="165" t="s">
        <v>592</v>
      </c>
    </row>
    <row r="302" spans="1:12" ht="19.5" customHeight="1">
      <c r="A302" s="152" t="s">
        <v>590</v>
      </c>
      <c r="B302" s="171" t="s">
        <v>675</v>
      </c>
      <c r="C302" s="152" t="str">
        <f>VLOOKUP(Tabela134[[#This Row],[Espécie]],Tabela2[[#All],[Espécie]:[Categoria de risco]],2,FALSE)</f>
        <v>caneleirinho-de-chapéu-preto</v>
      </c>
      <c r="D302" s="152" t="str">
        <f>VLOOKUP(Tabela134[[#This Row],[Espécie]],Tabela2[[#All],[Espécie]:[Categoria de risco]],3,FALSE)</f>
        <v>Aves</v>
      </c>
      <c r="E302" s="152" t="str">
        <f>VLOOKUP(Tabela134[[#This Row],[Espécie]],Tabela2[[#All],[Espécie]:[Categoria de risco]],4,FALSE)</f>
        <v>Menos preocupante</v>
      </c>
      <c r="F302" s="172" t="s">
        <v>674</v>
      </c>
      <c r="G302" s="60" t="s">
        <v>715</v>
      </c>
      <c r="H302" s="152" t="str">
        <f>VLOOKUP(Tabela134[[#This Row],[UC]],Tabela6[[#All],[UC]:[UF]],2,FALSE)</f>
        <v>PR</v>
      </c>
      <c r="I302" s="230" t="s">
        <v>610</v>
      </c>
      <c r="J302" s="192">
        <f>IFERROR(VLOOKUP(Tabela134[[#This Row],[Espécie]],Tabela8[[#All],[Espécie]:[Nome fantasia]],4, FALSE), 0)</f>
        <v>0</v>
      </c>
      <c r="K302" s="165" t="s">
        <v>592</v>
      </c>
      <c r="L302" s="165" t="s">
        <v>592</v>
      </c>
    </row>
    <row r="303" spans="1:12" ht="19.5" customHeight="1">
      <c r="A303" s="152" t="s">
        <v>590</v>
      </c>
      <c r="B303" s="173" t="s">
        <v>835</v>
      </c>
      <c r="C303" s="152" t="str">
        <f>VLOOKUP(Tabela134[[#This Row],[Espécie]],Tabela2[[#All],[Espécie]:[Categoria de risco]],2,FALSE)</f>
        <v>Sardinha-manjuba</v>
      </c>
      <c r="D303" s="152" t="str">
        <f>VLOOKUP(Tabela134[[#This Row],[Espécie]],Tabela2[[#All],[Espécie]:[Categoria de risco]],3,FALSE)</f>
        <v>Peixes Marinhos (ósseos)</v>
      </c>
      <c r="E303" s="152" t="str">
        <f>VLOOKUP(Tabela134[[#This Row],[Espécie]],Tabela2[[#All],[Espécie]:[Categoria de risco]],4,FALSE)</f>
        <v>Menos preocupante</v>
      </c>
      <c r="G303" s="60" t="s">
        <v>770</v>
      </c>
      <c r="H303" s="152" t="str">
        <f>VLOOKUP(Tabela134[[#This Row],[UC]],Tabela6[[#All],[UC]:[UF]],2,FALSE)</f>
        <v>RS</v>
      </c>
      <c r="I303" s="230" t="s">
        <v>610</v>
      </c>
      <c r="J303" s="192">
        <f>IFERROR(VLOOKUP(Tabela134[[#This Row],[Espécie]],Tabela8[[#All],[Espécie]:[Nome fantasia]],4, FALSE), 0)</f>
        <v>0</v>
      </c>
      <c r="K303" s="165" t="s">
        <v>592</v>
      </c>
      <c r="L303" s="165" t="s">
        <v>592</v>
      </c>
    </row>
    <row r="304" spans="1:12" ht="19.5" customHeight="1">
      <c r="A304" s="175" t="s">
        <v>2320</v>
      </c>
      <c r="B304" s="147" t="s">
        <v>1272</v>
      </c>
      <c r="C304" s="152" t="str">
        <f>VLOOKUP(Tabela134[[#This Row],[Espécie]],Tabela2[[#All],[Espécie]:[Categoria de risco]],2,FALSE)</f>
        <v>patinho-de-asa-castanha</v>
      </c>
      <c r="D304" s="179" t="str">
        <f>VLOOKUP(Tabela134[[#This Row],[Espécie]],Tabela2[[#All],[Espécie]:[Categoria de risco]],3,FALSE)</f>
        <v>Aves</v>
      </c>
      <c r="E304" s="152" t="str">
        <f>VLOOKUP(Tabela134[[#This Row],[Espécie]],Tabela2[[#All],[Espécie]:[Categoria de risco]],4,FALSE)</f>
        <v>Vulnerável</v>
      </c>
      <c r="F304" s="175" t="s">
        <v>2313</v>
      </c>
      <c r="G304" s="175" t="s">
        <v>613</v>
      </c>
      <c r="H304" s="152" t="str">
        <f>VLOOKUP(Tabela134[[#This Row],[UC]],Tabela6[[#All],[UC]:[UF]],2,FALSE)</f>
        <v>SP/PR</v>
      </c>
      <c r="I304" s="230" t="s">
        <v>592</v>
      </c>
      <c r="J304" s="192" t="str">
        <f>IFERROR(VLOOKUP(Tabela134[[#This Row],[Espécie]],Tabela8[[#All],[Espécie]:[Nome fantasia]],4, FALSE), 0)</f>
        <v>Aves da Mata Atlântica - 2º ciclo</v>
      </c>
      <c r="K304" s="165" t="s">
        <v>610</v>
      </c>
      <c r="L304" s="165" t="s">
        <v>610</v>
      </c>
    </row>
    <row r="305" spans="1:12" ht="19.5" customHeight="1">
      <c r="A305" s="175" t="s">
        <v>2320</v>
      </c>
      <c r="B305" s="147" t="s">
        <v>1272</v>
      </c>
      <c r="C305" s="152" t="str">
        <f>VLOOKUP(Tabela134[[#This Row],[Espécie]],Tabela2[[#All],[Espécie]:[Categoria de risco]],2,FALSE)</f>
        <v>patinho-de-asa-castanha</v>
      </c>
      <c r="D305" s="179" t="str">
        <f>VLOOKUP(Tabela134[[#This Row],[Espécie]],Tabela2[[#All],[Espécie]:[Categoria de risco]],3,FALSE)</f>
        <v>Aves</v>
      </c>
      <c r="E305" s="152" t="str">
        <f>VLOOKUP(Tabela134[[#This Row],[Espécie]],Tabela2[[#All],[Espécie]:[Categoria de risco]],4,FALSE)</f>
        <v>Vulnerável</v>
      </c>
      <c r="F305" s="175" t="s">
        <v>2313</v>
      </c>
      <c r="G305" s="175" t="s">
        <v>709</v>
      </c>
      <c r="H305" s="152" t="str">
        <f>VLOOKUP(Tabela134[[#This Row],[UC]],Tabela6[[#All],[UC]:[UF]],2,FALSE)</f>
        <v>PR</v>
      </c>
      <c r="I305" s="230" t="s">
        <v>592</v>
      </c>
      <c r="J305" s="192" t="str">
        <f>IFERROR(VLOOKUP(Tabela134[[#This Row],[Espécie]],Tabela8[[#All],[Espécie]:[Nome fantasia]],4, FALSE), 0)</f>
        <v>Aves da Mata Atlântica - 2º ciclo</v>
      </c>
      <c r="K305" s="165" t="s">
        <v>610</v>
      </c>
      <c r="L305" s="165" t="s">
        <v>610</v>
      </c>
    </row>
    <row r="306" spans="1:12" ht="19.5" customHeight="1">
      <c r="A306" s="175" t="s">
        <v>2320</v>
      </c>
      <c r="B306" s="147" t="s">
        <v>1272</v>
      </c>
      <c r="C306" s="152" t="str">
        <f>VLOOKUP(Tabela134[[#This Row],[Espécie]],Tabela2[[#All],[Espécie]:[Categoria de risco]],2,FALSE)</f>
        <v>patinho-de-asa-castanha</v>
      </c>
      <c r="D306" s="179" t="str">
        <f>VLOOKUP(Tabela134[[#This Row],[Espécie]],Tabela2[[#All],[Espécie]:[Categoria de risco]],3,FALSE)</f>
        <v>Aves</v>
      </c>
      <c r="E306" s="152" t="str">
        <f>VLOOKUP(Tabela134[[#This Row],[Espécie]],Tabela2[[#All],[Espécie]:[Categoria de risco]],4,FALSE)</f>
        <v>Vulnerável</v>
      </c>
      <c r="F306" s="175" t="s">
        <v>2313</v>
      </c>
      <c r="G306" s="175" t="s">
        <v>688</v>
      </c>
      <c r="H306" s="152" t="str">
        <f>VLOOKUP(Tabela134[[#This Row],[UC]],Tabela6[[#All],[UC]:[UF]],2,FALSE)</f>
        <v>SC</v>
      </c>
      <c r="I306" s="230" t="s">
        <v>592</v>
      </c>
      <c r="J306" s="192" t="str">
        <f>IFERROR(VLOOKUP(Tabela134[[#This Row],[Espécie]],Tabela8[[#All],[Espécie]:[Nome fantasia]],4, FALSE), 0)</f>
        <v>Aves da Mata Atlântica - 2º ciclo</v>
      </c>
      <c r="K306" s="165" t="s">
        <v>610</v>
      </c>
      <c r="L306" s="165" t="s">
        <v>610</v>
      </c>
    </row>
    <row r="307" spans="1:12" ht="19.5" customHeight="1">
      <c r="A307" s="152" t="s">
        <v>590</v>
      </c>
      <c r="B307" s="173" t="s">
        <v>786</v>
      </c>
      <c r="C307" s="152" t="str">
        <f>VLOOKUP(Tabela134[[#This Row],[Espécie]],Tabela2[[#All],[Espécie]:[Categoria de risco]],2,FALSE)</f>
        <v>Mergulhão-grande</v>
      </c>
      <c r="D307" s="152" t="str">
        <f>VLOOKUP(Tabela134[[#This Row],[Espécie]],Tabela2[[#All],[Espécie]:[Categoria de risco]],3,FALSE)</f>
        <v>Aves</v>
      </c>
      <c r="E307" s="152" t="str">
        <f>VLOOKUP(Tabela134[[#This Row],[Espécie]],Tabela2[[#All],[Espécie]:[Categoria de risco]],4,FALSE)</f>
        <v>Menos preocupante</v>
      </c>
      <c r="G307" s="60" t="s">
        <v>770</v>
      </c>
      <c r="H307" s="152" t="str">
        <f>VLOOKUP(Tabela134[[#This Row],[UC]],Tabela6[[#All],[UC]:[UF]],2,FALSE)</f>
        <v>RS</v>
      </c>
      <c r="I307" s="230" t="s">
        <v>610</v>
      </c>
      <c r="J307" s="192">
        <f>IFERROR(VLOOKUP(Tabela134[[#This Row],[Espécie]],Tabela8[[#All],[Espécie]:[Nome fantasia]],4, FALSE), 0)</f>
        <v>0</v>
      </c>
      <c r="K307" s="165" t="s">
        <v>592</v>
      </c>
      <c r="L307" s="165" t="s">
        <v>592</v>
      </c>
    </row>
    <row r="308" spans="1:12" ht="19.5" customHeight="1">
      <c r="A308" s="152" t="s">
        <v>590</v>
      </c>
      <c r="B308" s="171" t="s">
        <v>650</v>
      </c>
      <c r="C308" s="152" t="str">
        <f>VLOOKUP(Tabela134[[#This Row],[Espécie]],Tabela2[[#All],[Espécie]:[Categoria de risco]],2,FALSE)</f>
        <v>burriquete, corvina-negra, miragaia</v>
      </c>
      <c r="D308" s="152" t="str">
        <f>VLOOKUP(Tabela134[[#This Row],[Espécie]],Tabela2[[#All],[Espécie]:[Categoria de risco]],3,FALSE)</f>
        <v>Peixes Marinhos (Ósseos)</v>
      </c>
      <c r="E308" s="152" t="str">
        <f>VLOOKUP(Tabela134[[#This Row],[Espécie]],Tabela2[[#All],[Espécie]:[Categoria de risco]],4,FALSE)</f>
        <v>Em Perigo</v>
      </c>
      <c r="G308" s="60" t="s">
        <v>643</v>
      </c>
      <c r="H308" s="152" t="str">
        <f>VLOOKUP(Tabela134[[#This Row],[UC]],Tabela6[[#All],[UC]:[UF]],2,FALSE)</f>
        <v>SC</v>
      </c>
      <c r="I308" s="230" t="s">
        <v>610</v>
      </c>
      <c r="J308" s="192">
        <f>IFERROR(VLOOKUP(Tabela134[[#This Row],[Espécie]],Tabela8[[#All],[Espécie]:[Nome fantasia]],4, FALSE), 0)</f>
        <v>0</v>
      </c>
      <c r="K308" s="165" t="s">
        <v>592</v>
      </c>
      <c r="L308" s="165" t="s">
        <v>592</v>
      </c>
    </row>
    <row r="309" spans="1:12" ht="19.5" customHeight="1">
      <c r="A309" s="152" t="s">
        <v>590</v>
      </c>
      <c r="B309" s="171" t="s">
        <v>650</v>
      </c>
      <c r="C309" s="152" t="str">
        <f>VLOOKUP(Tabela134[[#This Row],[Espécie]],Tabela2[[#All],[Espécie]:[Categoria de risco]],2,FALSE)</f>
        <v>burriquete, corvina-negra, miragaia</v>
      </c>
      <c r="D309" s="152" t="str">
        <f>VLOOKUP(Tabela134[[#This Row],[Espécie]],Tabela2[[#All],[Espécie]:[Categoria de risco]],3,FALSE)</f>
        <v>Peixes Marinhos (Ósseos)</v>
      </c>
      <c r="E309" s="152" t="str">
        <f>VLOOKUP(Tabela134[[#This Row],[Espécie]],Tabela2[[#All],[Espécie]:[Categoria de risco]],4,FALSE)</f>
        <v>Em Perigo</v>
      </c>
      <c r="F309" s="172" t="s">
        <v>771</v>
      </c>
      <c r="G309" s="60" t="s">
        <v>770</v>
      </c>
      <c r="H309" s="152" t="str">
        <f>VLOOKUP(Tabela134[[#This Row],[UC]],Tabela6[[#All],[UC]:[UF]],2,FALSE)</f>
        <v>RS</v>
      </c>
      <c r="I309" s="230" t="s">
        <v>610</v>
      </c>
      <c r="J309" s="192">
        <f>IFERROR(VLOOKUP(Tabela134[[#This Row],[Espécie]],Tabela8[[#All],[Espécie]:[Nome fantasia]],4, FALSE), 0)</f>
        <v>0</v>
      </c>
      <c r="K309" s="165" t="s">
        <v>592</v>
      </c>
      <c r="L309" s="165" t="s">
        <v>592</v>
      </c>
    </row>
    <row r="310" spans="1:12" ht="19.5" customHeight="1">
      <c r="A310" s="152" t="s">
        <v>590</v>
      </c>
      <c r="B310" s="173" t="s">
        <v>825</v>
      </c>
      <c r="C310" s="152" t="str">
        <f>VLOOKUP(Tabela134[[#This Row],[Espécie]],Tabela2[[#All],[Espécie]:[Categoria de risco]],2,FALSE)</f>
        <v>anchova ou anchovinha</v>
      </c>
      <c r="D310" s="152" t="str">
        <f>VLOOKUP(Tabela134[[#This Row],[Espécie]],Tabela2[[#All],[Espécie]:[Categoria de risco]],3,FALSE)</f>
        <v>Peixes Marinhos (ósseos)</v>
      </c>
      <c r="E310" s="152" t="str">
        <f>VLOOKUP(Tabela134[[#This Row],[Espécie]],Tabela2[[#All],[Espécie]:[Categoria de risco]],4,FALSE)</f>
        <v>Menos preocupante</v>
      </c>
      <c r="G310" s="60" t="s">
        <v>770</v>
      </c>
      <c r="H310" s="152" t="str">
        <f>VLOOKUP(Tabela134[[#This Row],[UC]],Tabela6[[#All],[UC]:[UF]],2,FALSE)</f>
        <v>RS</v>
      </c>
      <c r="I310" s="230" t="s">
        <v>610</v>
      </c>
      <c r="J310" s="192">
        <f>IFERROR(VLOOKUP(Tabela134[[#This Row],[Espécie]],Tabela8[[#All],[Espécie]:[Nome fantasia]],4, FALSE), 0)</f>
        <v>0</v>
      </c>
      <c r="K310" s="165" t="s">
        <v>592</v>
      </c>
      <c r="L310" s="165" t="s">
        <v>592</v>
      </c>
    </row>
    <row r="311" spans="1:12" ht="19.5" customHeight="1">
      <c r="A311" s="152" t="s">
        <v>590</v>
      </c>
      <c r="B311" s="171" t="s">
        <v>600</v>
      </c>
      <c r="C311" s="152" t="str">
        <f>VLOOKUP(Tabela134[[#This Row],[Espécie]],Tabela2[[#All],[Espécie]:[Categoria de risco]],2,FALSE)</f>
        <v>Boto-amarelo, Boto-cachimbo, Manico, Toninha</v>
      </c>
      <c r="D311" s="152" t="str">
        <f>VLOOKUP(Tabela134[[#This Row],[Espécie]],Tabela2[[#All],[Espécie]:[Categoria de risco]],3,FALSE)</f>
        <v>Mamíferos</v>
      </c>
      <c r="E311" s="152" t="str">
        <f>VLOOKUP(Tabela134[[#This Row],[Espécie]],Tabela2[[#All],[Espécie]:[Categoria de risco]],4,FALSE)</f>
        <v>Criticamente em Perigo</v>
      </c>
      <c r="G311" s="60" t="s">
        <v>91</v>
      </c>
      <c r="H311" s="152" t="str">
        <f>VLOOKUP(Tabela134[[#This Row],[UC]],Tabela6[[#All],[UC]:[UF]],2,FALSE)</f>
        <v>SC</v>
      </c>
      <c r="I311" s="230" t="s">
        <v>592</v>
      </c>
      <c r="J311" s="192" t="str">
        <f>IFERROR(VLOOKUP(Tabela134[[#This Row],[Espécie]],Tabela8[[#All],[Espécie]:[Nome fantasia]],4, FALSE), 0)</f>
        <v>Toninha - 2º ciclo</v>
      </c>
      <c r="K311" s="165" t="s">
        <v>592</v>
      </c>
      <c r="L311" s="165" t="s">
        <v>592</v>
      </c>
    </row>
    <row r="312" spans="1:12" ht="19.5" customHeight="1">
      <c r="A312" s="152" t="s">
        <v>590</v>
      </c>
      <c r="B312" s="171" t="s">
        <v>600</v>
      </c>
      <c r="C312" s="152" t="str">
        <f>VLOOKUP(Tabela134[[#This Row],[Espécie]],Tabela2[[#All],[Espécie]:[Categoria de risco]],2,FALSE)</f>
        <v>Boto-amarelo, Boto-cachimbo, Manico, Toninha</v>
      </c>
      <c r="D312" s="152" t="str">
        <f>VLOOKUP(Tabela134[[#This Row],[Espécie]],Tabela2[[#All],[Espécie]:[Categoria de risco]],3,FALSE)</f>
        <v>Mamíferos</v>
      </c>
      <c r="E312" s="152" t="str">
        <f>VLOOKUP(Tabela134[[#This Row],[Espécie]],Tabela2[[#All],[Espécie]:[Categoria de risco]],4,FALSE)</f>
        <v>Criticamente em Perigo</v>
      </c>
      <c r="G312" s="60" t="s">
        <v>2322</v>
      </c>
      <c r="H312" s="152" t="str">
        <f>VLOOKUP(Tabela134[[#This Row],[UC]],Tabela6[[#All],[UC]:[UF]],2,FALSE)</f>
        <v>SC</v>
      </c>
      <c r="I312" s="230" t="s">
        <v>592</v>
      </c>
      <c r="J312" s="192" t="str">
        <f>IFERROR(VLOOKUP(Tabela134[[#This Row],[Espécie]],Tabela8[[#All],[Espécie]:[Nome fantasia]],4, FALSE), 0)</f>
        <v>Toninha - 2º ciclo</v>
      </c>
      <c r="K312" s="165" t="s">
        <v>592</v>
      </c>
      <c r="L312" s="165" t="s">
        <v>592</v>
      </c>
    </row>
    <row r="313" spans="1:12" ht="19.5" customHeight="1">
      <c r="A313" s="152" t="s">
        <v>590</v>
      </c>
      <c r="B313" s="171" t="s">
        <v>600</v>
      </c>
      <c r="C313" s="152" t="str">
        <f>VLOOKUP(Tabela134[[#This Row],[Espécie]],Tabela2[[#All],[Espécie]:[Categoria de risco]],2,FALSE)</f>
        <v>Boto-amarelo, Boto-cachimbo, Manico, Toninha</v>
      </c>
      <c r="D313" s="152" t="str">
        <f>VLOOKUP(Tabela134[[#This Row],[Espécie]],Tabela2[[#All],[Espécie]:[Categoria de risco]],3,FALSE)</f>
        <v>Mamíferos</v>
      </c>
      <c r="E313" s="152" t="str">
        <f>VLOOKUP(Tabela134[[#This Row],[Espécie]],Tabela2[[#All],[Espécie]:[Categoria de risco]],4,FALSE)</f>
        <v>Criticamente em Perigo</v>
      </c>
      <c r="G313" s="60" t="s">
        <v>730</v>
      </c>
      <c r="H313" s="152" t="str">
        <f>VLOOKUP(Tabela134[[#This Row],[UC]],Tabela6[[#All],[UC]:[UF]],2,FALSE)</f>
        <v>SC</v>
      </c>
      <c r="I313" s="230" t="s">
        <v>592</v>
      </c>
      <c r="J313" s="192" t="str">
        <f>IFERROR(VLOOKUP(Tabela134[[#This Row],[Espécie]],Tabela8[[#All],[Espécie]:[Nome fantasia]],4, FALSE), 0)</f>
        <v>Toninha - 2º ciclo</v>
      </c>
      <c r="K313" s="165" t="s">
        <v>592</v>
      </c>
      <c r="L313" s="165" t="s">
        <v>592</v>
      </c>
    </row>
    <row r="314" spans="1:12" ht="19.5" customHeight="1">
      <c r="A314" s="152" t="s">
        <v>590</v>
      </c>
      <c r="B314" s="171" t="s">
        <v>600</v>
      </c>
      <c r="C314" s="152" t="str">
        <f>VLOOKUP(Tabela134[[#This Row],[Espécie]],Tabela2[[#All],[Espécie]:[Categoria de risco]],2,FALSE)</f>
        <v>Boto-amarelo, Boto-cachimbo, Manico, Toninha</v>
      </c>
      <c r="D314" s="152" t="str">
        <f>VLOOKUP(Tabela134[[#This Row],[Espécie]],Tabela2[[#All],[Espécie]:[Categoria de risco]],3,FALSE)</f>
        <v>Mamíferos</v>
      </c>
      <c r="E314" s="152" t="str">
        <f>VLOOKUP(Tabela134[[#This Row],[Espécie]],Tabela2[[#All],[Espécie]:[Categoria de risco]],4,FALSE)</f>
        <v>Criticamente em Perigo</v>
      </c>
      <c r="G314" s="60" t="s">
        <v>770</v>
      </c>
      <c r="H314" s="152" t="str">
        <f>VLOOKUP(Tabela134[[#This Row],[UC]],Tabela6[[#All],[UC]:[UF]],2,FALSE)</f>
        <v>RS</v>
      </c>
      <c r="I314" s="230" t="s">
        <v>592</v>
      </c>
      <c r="J314" s="192" t="str">
        <f>IFERROR(VLOOKUP(Tabela134[[#This Row],[Espécie]],Tabela8[[#All],[Espécie]:[Nome fantasia]],4, FALSE), 0)</f>
        <v>Toninha - 2º ciclo</v>
      </c>
      <c r="K314" s="165" t="s">
        <v>592</v>
      </c>
      <c r="L314" s="165" t="s">
        <v>592</v>
      </c>
    </row>
    <row r="315" spans="1:12" ht="19.5" customHeight="1">
      <c r="A315" s="152" t="s">
        <v>590</v>
      </c>
      <c r="B315" s="171" t="s">
        <v>682</v>
      </c>
      <c r="C315" s="152" t="str">
        <f>VLOOKUP(Tabela134[[#This Row],[Espécie]],Tabela2[[#All],[Espécie]:[Categoria de risco]],2,FALSE)</f>
        <v>Sanã-cinza</v>
      </c>
      <c r="D315" s="152" t="str">
        <f>VLOOKUP(Tabela134[[#This Row],[Espécie]],Tabela2[[#All],[Espécie]:[Categoria de risco]],3,FALSE)</f>
        <v>Aves</v>
      </c>
      <c r="E315" s="152" t="str">
        <f>VLOOKUP(Tabela134[[#This Row],[Espécie]],Tabela2[[#All],[Espécie]:[Categoria de risco]],4,FALSE)</f>
        <v>Em Perigo</v>
      </c>
      <c r="F315" s="172" t="s">
        <v>636</v>
      </c>
      <c r="G315" s="60" t="s">
        <v>680</v>
      </c>
      <c r="H315" s="152" t="str">
        <f>VLOOKUP(Tabela134[[#This Row],[UC]],Tabela6[[#All],[UC]:[UF]],2,FALSE)</f>
        <v>RS</v>
      </c>
      <c r="I315" s="230" t="s">
        <v>610</v>
      </c>
      <c r="J315" s="192">
        <f>IFERROR(VLOOKUP(Tabela134[[#This Row],[Espécie]],Tabela8[[#All],[Espécie]:[Nome fantasia]],4, FALSE), 0)</f>
        <v>0</v>
      </c>
      <c r="K315" s="165" t="s">
        <v>610</v>
      </c>
      <c r="L315" s="165" t="s">
        <v>592</v>
      </c>
    </row>
    <row r="316" spans="1:12" ht="19.5" customHeight="1">
      <c r="A316" s="152" t="s">
        <v>590</v>
      </c>
      <c r="B316" s="173" t="s">
        <v>851</v>
      </c>
      <c r="C316" s="152" t="str">
        <f>VLOOKUP(Tabela134[[#This Row],[Espécie]],Tabela2[[#All],[Espécie]:[Categoria de risco]],2,FALSE)</f>
        <v>Cantador, Figueira, Fogueira, Imperador, Mirassol, Olhão, Olho-de-boi, Olho-de-vidro, Piranema</v>
      </c>
      <c r="D316" s="152" t="str">
        <f>VLOOKUP(Tabela134[[#This Row],[Espécie]],Tabela2[[#All],[Espécie]:[Categoria de risco]],3,FALSE)</f>
        <v>Peixes Marinhos (ósseos)</v>
      </c>
      <c r="E316" s="152" t="str">
        <f>VLOOKUP(Tabela134[[#This Row],[Espécie]],Tabela2[[#All],[Espécie]:[Categoria de risco]],4,FALSE)</f>
        <v>Menos preocupante</v>
      </c>
      <c r="F316" s="152" t="s">
        <v>695</v>
      </c>
      <c r="G316" s="60" t="s">
        <v>770</v>
      </c>
      <c r="H316" s="152" t="str">
        <f>VLOOKUP(Tabela134[[#This Row],[UC]],Tabela6[[#All],[UC]:[UF]],2,FALSE)</f>
        <v>RS</v>
      </c>
      <c r="I316" s="230" t="s">
        <v>610</v>
      </c>
      <c r="J316" s="192">
        <f>IFERROR(VLOOKUP(Tabela134[[#This Row],[Espécie]],Tabela8[[#All],[Espécie]:[Nome fantasia]],4, FALSE), 0)</f>
        <v>0</v>
      </c>
      <c r="K316" s="165" t="s">
        <v>592</v>
      </c>
      <c r="L316" s="165" t="s">
        <v>592</v>
      </c>
    </row>
    <row r="317" spans="1:12" ht="19.5" customHeight="1">
      <c r="A317" s="152" t="s">
        <v>590</v>
      </c>
      <c r="B317" s="171" t="s">
        <v>765</v>
      </c>
      <c r="C317" s="152" t="str">
        <f>VLOOKUP(Tabela134[[#This Row],[Espécie]],Tabela2[[#All],[Espécie]:[Categoria de risco]],2,FALSE)</f>
        <v>pardela-preta</v>
      </c>
      <c r="D317" s="152" t="str">
        <f>VLOOKUP(Tabela134[[#This Row],[Espécie]],Tabela2[[#All],[Espécie]:[Categoria de risco]],3,FALSE)</f>
        <v>Aves</v>
      </c>
      <c r="E317" s="152" t="str">
        <f>VLOOKUP(Tabela134[[#This Row],[Espécie]],Tabela2[[#All],[Espécie]:[Categoria de risco]],4,FALSE)</f>
        <v>Vulnerável</v>
      </c>
      <c r="G317" s="60" t="s">
        <v>730</v>
      </c>
      <c r="H317" s="152" t="str">
        <f>VLOOKUP(Tabela134[[#This Row],[UC]],Tabela6[[#All],[UC]:[UF]],2,FALSE)</f>
        <v>SC</v>
      </c>
      <c r="I317" s="230" t="s">
        <v>592</v>
      </c>
      <c r="J317" s="192" t="str">
        <f>IFERROR(VLOOKUP(Tabela134[[#This Row],[Espécie]],Tabela8[[#All],[Espécie]:[Nome fantasia]],4, FALSE), 0)</f>
        <v>Albatrozes e Petréis - 4º ciclo</v>
      </c>
      <c r="K317" s="165" t="s">
        <v>592</v>
      </c>
      <c r="L317" s="165" t="s">
        <v>592</v>
      </c>
    </row>
    <row r="318" spans="1:12" ht="19.5" customHeight="1">
      <c r="A318" s="152" t="s">
        <v>590</v>
      </c>
      <c r="B318" s="171" t="s">
        <v>765</v>
      </c>
      <c r="C318" s="152" t="str">
        <f>VLOOKUP(Tabela134[[#This Row],[Espécie]],Tabela2[[#All],[Espécie]:[Categoria de risco]],2,FALSE)</f>
        <v>pardela-preta</v>
      </c>
      <c r="D318" s="152" t="str">
        <f>VLOOKUP(Tabela134[[#This Row],[Espécie]],Tabela2[[#All],[Espécie]:[Categoria de risco]],3,FALSE)</f>
        <v>Aves</v>
      </c>
      <c r="E318" s="152" t="str">
        <f>VLOOKUP(Tabela134[[#This Row],[Espécie]],Tabela2[[#All],[Espécie]:[Categoria de risco]],4,FALSE)</f>
        <v>Vulnerável</v>
      </c>
      <c r="G318" s="60" t="s">
        <v>770</v>
      </c>
      <c r="H318" s="152" t="str">
        <f>VLOOKUP(Tabela134[[#This Row],[UC]],Tabela6[[#All],[UC]:[UF]],2,FALSE)</f>
        <v>RS</v>
      </c>
      <c r="I318" s="230" t="s">
        <v>592</v>
      </c>
      <c r="J318" s="192" t="str">
        <f>IFERROR(VLOOKUP(Tabela134[[#This Row],[Espécie]],Tabela8[[#All],[Espécie]:[Nome fantasia]],4, FALSE), 0)</f>
        <v>Albatrozes e Petréis - 4º ciclo</v>
      </c>
      <c r="K318" s="165" t="s">
        <v>592</v>
      </c>
      <c r="L318" s="165" t="s">
        <v>592</v>
      </c>
    </row>
    <row r="319" spans="1:12" ht="19.5" customHeight="1">
      <c r="A319" s="175" t="s">
        <v>2320</v>
      </c>
      <c r="B319" s="147" t="s">
        <v>1136</v>
      </c>
      <c r="C319" s="152" t="str">
        <f>VLOOKUP(Tabela134[[#This Row],[Espécie]],Tabela2[[#All],[Espécie]:[Categoria de risco]],2,FALSE)</f>
        <v>pardela-de-óculos</v>
      </c>
      <c r="D319" s="179" t="str">
        <f>VLOOKUP(Tabela134[[#This Row],[Espécie]],Tabela2[[#All],[Espécie]:[Categoria de risco]],3,FALSE)</f>
        <v>Aves</v>
      </c>
      <c r="E319" s="152" t="str">
        <f>VLOOKUP(Tabela134[[#This Row],[Espécie]],Tabela2[[#All],[Espécie]:[Categoria de risco]],4,FALSE)</f>
        <v>Vulnerável</v>
      </c>
      <c r="F319" s="175" t="s">
        <v>2313</v>
      </c>
      <c r="G319" s="175" t="s">
        <v>613</v>
      </c>
      <c r="H319" s="152" t="str">
        <f>VLOOKUP(Tabela134[[#This Row],[UC]],Tabela6[[#All],[UC]:[UF]],2,FALSE)</f>
        <v>SP/PR</v>
      </c>
      <c r="I319" s="230" t="s">
        <v>592</v>
      </c>
      <c r="J319" s="192" t="str">
        <f>IFERROR(VLOOKUP(Tabela134[[#This Row],[Espécie]],Tabela8[[#All],[Espécie]:[Nome fantasia]],4, FALSE), 0)</f>
        <v>Albatrozes e Petréis - 4º ciclo</v>
      </c>
      <c r="K319" s="165" t="s">
        <v>610</v>
      </c>
      <c r="L319" s="165" t="s">
        <v>610</v>
      </c>
    </row>
    <row r="320" spans="1:12" ht="19.5" customHeight="1">
      <c r="A320" s="152" t="s">
        <v>590</v>
      </c>
      <c r="B320" s="171" t="s">
        <v>759</v>
      </c>
      <c r="C320" s="152" t="str">
        <f>VLOOKUP(Tabela134[[#This Row],[Espécie]],Tabela2[[#All],[Espécie]:[Categoria de risco]],2,FALSE)</f>
        <v>raia-viola, viola</v>
      </c>
      <c r="D320" s="152" t="str">
        <f>VLOOKUP(Tabela134[[#This Row],[Espécie]],Tabela2[[#All],[Espécie]:[Categoria de risco]],3,FALSE)</f>
        <v>Tubarões e Raias</v>
      </c>
      <c r="E320" s="152" t="str">
        <f>VLOOKUP(Tabela134[[#This Row],[Espécie]],Tabela2[[#All],[Espécie]:[Categoria de risco]],4,FALSE)</f>
        <v>Criticamente em Perigo</v>
      </c>
      <c r="G320" s="60" t="s">
        <v>730</v>
      </c>
      <c r="H320" s="152" t="str">
        <f>VLOOKUP(Tabela134[[#This Row],[UC]],Tabela6[[#All],[UC]:[UF]],2,FALSE)</f>
        <v>SC</v>
      </c>
      <c r="I320" s="230" t="s">
        <v>592</v>
      </c>
      <c r="J320" s="192" t="str">
        <f>IFERROR(VLOOKUP(Tabela134[[#This Row],[Espécie]],Tabela8[[#All],[Espécie]:[Nome fantasia]],4, FALSE), 0)</f>
        <v xml:space="preserve">Tubarões - 2º ciclo </v>
      </c>
      <c r="K320" s="165" t="s">
        <v>592</v>
      </c>
      <c r="L320" s="165" t="s">
        <v>592</v>
      </c>
    </row>
    <row r="321" spans="1:12" ht="19.5" customHeight="1">
      <c r="A321" s="152" t="s">
        <v>590</v>
      </c>
      <c r="B321" s="171" t="s">
        <v>759</v>
      </c>
      <c r="C321" s="152" t="str">
        <f>VLOOKUP(Tabela134[[#This Row],[Espécie]],Tabela2[[#All],[Espécie]:[Categoria de risco]],2,FALSE)</f>
        <v>raia-viola, viola</v>
      </c>
      <c r="D321" s="152" t="str">
        <f>VLOOKUP(Tabela134[[#This Row],[Espécie]],Tabela2[[#All],[Espécie]:[Categoria de risco]],3,FALSE)</f>
        <v>Tubarões e Raias</v>
      </c>
      <c r="E321" s="152" t="str">
        <f>VLOOKUP(Tabela134[[#This Row],[Espécie]],Tabela2[[#All],[Espécie]:[Categoria de risco]],4,FALSE)</f>
        <v>Criticamente em Perigo</v>
      </c>
      <c r="G321" s="60" t="s">
        <v>770</v>
      </c>
      <c r="H321" s="152" t="str">
        <f>VLOOKUP(Tabela134[[#This Row],[UC]],Tabela6[[#All],[UC]:[UF]],2,FALSE)</f>
        <v>RS</v>
      </c>
      <c r="I321" s="230" t="s">
        <v>592</v>
      </c>
      <c r="J321" s="192" t="str">
        <f>IFERROR(VLOOKUP(Tabela134[[#This Row],[Espécie]],Tabela8[[#All],[Espécie]:[Nome fantasia]],4, FALSE), 0)</f>
        <v xml:space="preserve">Tubarões - 2º ciclo </v>
      </c>
      <c r="K321" s="165" t="s">
        <v>592</v>
      </c>
      <c r="L321" s="165" t="s">
        <v>592</v>
      </c>
    </row>
    <row r="322" spans="1:12" ht="19.5" customHeight="1">
      <c r="A322" s="175" t="s">
        <v>2320</v>
      </c>
      <c r="B322" s="147" t="s">
        <v>1834</v>
      </c>
      <c r="C322" s="152" t="str">
        <f>VLOOKUP(Tabela134[[#This Row],[Espécie]],Tabela2[[#All],[Espécie]:[Categoria de risco]],2,FALSE)</f>
        <v>cação-viola, raia-viola, viola</v>
      </c>
      <c r="D322" s="179" t="str">
        <f>VLOOKUP(Tabela134[[#This Row],[Espécie]],Tabela2[[#All],[Espécie]:[Categoria de risco]],3,FALSE)</f>
        <v>Tubarões e Raias</v>
      </c>
      <c r="E322" s="152" t="str">
        <f>VLOOKUP(Tabela134[[#This Row],[Espécie]],Tabela2[[#All],[Espécie]:[Categoria de risco]],4,FALSE)</f>
        <v>Vulnerável</v>
      </c>
      <c r="F322" s="175" t="s">
        <v>2313</v>
      </c>
      <c r="G322" s="174" t="s">
        <v>613</v>
      </c>
      <c r="H322" s="152" t="str">
        <f>VLOOKUP(Tabela134[[#This Row],[UC]],Tabela6[[#All],[UC]:[UF]],2,FALSE)</f>
        <v>SP/PR</v>
      </c>
      <c r="I322" s="230" t="s">
        <v>592</v>
      </c>
      <c r="J322" s="192" t="str">
        <f>IFERROR(VLOOKUP(Tabela134[[#This Row],[Espécie]],Tabela8[[#All],[Espécie]:[Nome fantasia]],4, FALSE), 0)</f>
        <v xml:space="preserve">Tubarões - 2º ciclo </v>
      </c>
      <c r="K322" s="165" t="s">
        <v>610</v>
      </c>
      <c r="L322" s="165" t="s">
        <v>610</v>
      </c>
    </row>
    <row r="323" spans="1:12" ht="19.5" customHeight="1">
      <c r="A323" s="175" t="s">
        <v>2320</v>
      </c>
      <c r="B323" s="147" t="s">
        <v>1834</v>
      </c>
      <c r="C323" s="152" t="str">
        <f>VLOOKUP(Tabela134[[#This Row],[Espécie]],Tabela2[[#All],[Espécie]:[Categoria de risco]],2,FALSE)</f>
        <v>cação-viola, raia-viola, viola</v>
      </c>
      <c r="D323" s="179" t="str">
        <f>VLOOKUP(Tabela134[[#This Row],[Espécie]],Tabela2[[#All],[Espécie]:[Categoria de risco]],3,FALSE)</f>
        <v>Tubarões e Raias</v>
      </c>
      <c r="E323" s="152" t="str">
        <f>VLOOKUP(Tabela134[[#This Row],[Espécie]],Tabela2[[#All],[Espécie]:[Categoria de risco]],4,FALSE)</f>
        <v>Vulnerável</v>
      </c>
      <c r="F323" s="175" t="s">
        <v>2313</v>
      </c>
      <c r="G323" s="174" t="s">
        <v>718</v>
      </c>
      <c r="H323" s="152" t="str">
        <f>VLOOKUP(Tabela134[[#This Row],[UC]],Tabela6[[#All],[UC]:[UF]],2,FALSE)</f>
        <v>SP/PR</v>
      </c>
      <c r="I323" s="230" t="s">
        <v>592</v>
      </c>
      <c r="J323" s="192" t="str">
        <f>IFERROR(VLOOKUP(Tabela134[[#This Row],[Espécie]],Tabela8[[#All],[Espécie]:[Nome fantasia]],4, FALSE), 0)</f>
        <v xml:space="preserve">Tubarões - 2º ciclo </v>
      </c>
      <c r="K323" s="165" t="s">
        <v>610</v>
      </c>
      <c r="L323" s="165" t="s">
        <v>610</v>
      </c>
    </row>
    <row r="324" spans="1:12" ht="19.5" customHeight="1">
      <c r="A324" s="175" t="s">
        <v>2320</v>
      </c>
      <c r="B324" s="147" t="s">
        <v>1834</v>
      </c>
      <c r="C324" s="152" t="str">
        <f>VLOOKUP(Tabela134[[#This Row],[Espécie]],Tabela2[[#All],[Espécie]:[Categoria de risco]],2,FALSE)</f>
        <v>cação-viola, raia-viola, viola</v>
      </c>
      <c r="D324" s="179" t="str">
        <f>VLOOKUP(Tabela134[[#This Row],[Espécie]],Tabela2[[#All],[Espécie]:[Categoria de risco]],3,FALSE)</f>
        <v>Tubarões e Raias</v>
      </c>
      <c r="E324" s="152" t="str">
        <f>VLOOKUP(Tabela134[[#This Row],[Espécie]],Tabela2[[#All],[Espécie]:[Categoria de risco]],4,FALSE)</f>
        <v>Vulnerável</v>
      </c>
      <c r="F324" s="175" t="s">
        <v>2313</v>
      </c>
      <c r="G324" s="174" t="s">
        <v>2317</v>
      </c>
      <c r="H324" s="152" t="str">
        <f>VLOOKUP(Tabela134[[#This Row],[UC]],Tabela6[[#All],[UC]:[UF]],2,FALSE)</f>
        <v>PR</v>
      </c>
      <c r="I324" s="230" t="s">
        <v>592</v>
      </c>
      <c r="J324" s="192" t="str">
        <f>IFERROR(VLOOKUP(Tabela134[[#This Row],[Espécie]],Tabela8[[#All],[Espécie]:[Nome fantasia]],4, FALSE), 0)</f>
        <v xml:space="preserve">Tubarões - 2º ciclo </v>
      </c>
      <c r="K324" s="165" t="s">
        <v>610</v>
      </c>
      <c r="L324" s="165" t="s">
        <v>610</v>
      </c>
    </row>
    <row r="325" spans="1:12" ht="19.5" customHeight="1">
      <c r="A325" s="175" t="s">
        <v>2320</v>
      </c>
      <c r="B325" s="147" t="s">
        <v>1608</v>
      </c>
      <c r="C325" s="152" t="str">
        <f>VLOOKUP(Tabela134[[#This Row],[Espécie]],Tabela2[[#All],[Espécie]:[Categoria de risco]],2,FALSE)</f>
        <v>Pintado, Surubim, Surubim-pintado</v>
      </c>
      <c r="D325" s="179" t="str">
        <f>VLOOKUP(Tabela134[[#This Row],[Espécie]],Tabela2[[#All],[Espécie]:[Categoria de risco]],3,FALSE)</f>
        <v>Peixes Continentais</v>
      </c>
      <c r="E325" s="152" t="str">
        <f>VLOOKUP(Tabela134[[#This Row],[Espécie]],Tabela2[[#All],[Espécie]:[Categoria de risco]],4,FALSE)</f>
        <v>Vulnerável</v>
      </c>
      <c r="F325" s="175" t="s">
        <v>2313</v>
      </c>
      <c r="G325" s="174" t="s">
        <v>602</v>
      </c>
      <c r="H325" s="152" t="str">
        <f>VLOOKUP(Tabela134[[#This Row],[UC]],Tabela6[[#All],[UC]:[UF]],2,FALSE)</f>
        <v>SP/PR/MS</v>
      </c>
      <c r="I325" s="230" t="s">
        <v>592</v>
      </c>
      <c r="J325" s="192" t="str">
        <f>IFERROR(VLOOKUP(Tabela134[[#This Row],[Espécie]],Tabela8[[#All],[Espécie]:[Nome fantasia]],4, FALSE), 0)</f>
        <v>Alto Paraná - 1º ciclo</v>
      </c>
      <c r="K325" s="165" t="s">
        <v>610</v>
      </c>
      <c r="L325" s="165" t="s">
        <v>610</v>
      </c>
    </row>
    <row r="326" spans="1:12" ht="19.5" customHeight="1">
      <c r="A326" s="152" t="s">
        <v>590</v>
      </c>
      <c r="B326" s="171" t="s">
        <v>769</v>
      </c>
      <c r="C326" s="152" t="str">
        <f>VLOOKUP(Tabela134[[#This Row],[Espécie]],Tabela2[[#All],[Espécie]:[Categoria de risco]],2,FALSE)</f>
        <v>grazina-de-barriga-branca</v>
      </c>
      <c r="D326" s="152" t="str">
        <f>VLOOKUP(Tabela134[[#This Row],[Espécie]],Tabela2[[#All],[Espécie]:[Categoria de risco]],3,FALSE)</f>
        <v>Aves</v>
      </c>
      <c r="E326" s="152" t="str">
        <f>VLOOKUP(Tabela134[[#This Row],[Espécie]],Tabela2[[#All],[Espécie]:[Categoria de risco]],4,FALSE)</f>
        <v>Em Perigo</v>
      </c>
      <c r="G326" s="60" t="s">
        <v>730</v>
      </c>
      <c r="H326" s="152" t="str">
        <f>VLOOKUP(Tabela134[[#This Row],[UC]],Tabela6[[#All],[UC]:[UF]],2,FALSE)</f>
        <v>SC</v>
      </c>
      <c r="I326" s="230" t="s">
        <v>592</v>
      </c>
      <c r="J326" s="192" t="str">
        <f>IFERROR(VLOOKUP(Tabela134[[#This Row],[Espécie]],Tabela8[[#All],[Espécie]:[Nome fantasia]],4, FALSE), 0)</f>
        <v>Aves Marinhas - 2º ciclo</v>
      </c>
      <c r="K326" s="165" t="s">
        <v>592</v>
      </c>
      <c r="L326" s="165" t="s">
        <v>592</v>
      </c>
    </row>
    <row r="327" spans="1:12" ht="19.5" customHeight="1">
      <c r="A327" s="152" t="s">
        <v>590</v>
      </c>
      <c r="B327" s="171" t="s">
        <v>705</v>
      </c>
      <c r="C327" s="152" t="str">
        <f>VLOOKUP(Tabela134[[#This Row],[Espécie]],Tabela2[[#All],[Espécie]:[Categoria de risco]],2,FALSE)</f>
        <v>Ariranha, lontra gigante, onça-d'água</v>
      </c>
      <c r="D327" s="152" t="str">
        <f>VLOOKUP(Tabela134[[#This Row],[Espécie]],Tabela2[[#All],[Espécie]:[Categoria de risco]],3,FALSE)</f>
        <v>Mamíferos</v>
      </c>
      <c r="E327" s="152" t="str">
        <f>VLOOKUP(Tabela134[[#This Row],[Espécie]],Tabela2[[#All],[Espécie]:[Categoria de risco]],4,FALSE)</f>
        <v>Vulnerável</v>
      </c>
      <c r="F327" s="172" t="s">
        <v>636</v>
      </c>
      <c r="G327" s="60" t="s">
        <v>703</v>
      </c>
      <c r="H327" s="152" t="str">
        <f>VLOOKUP(Tabela134[[#This Row],[UC]],Tabela6[[#All],[UC]:[UF]],2,FALSE)</f>
        <v>MS/PR</v>
      </c>
      <c r="I327" s="230" t="s">
        <v>592</v>
      </c>
      <c r="J327" s="192" t="str">
        <f>IFERROR(VLOOKUP(Tabela134[[#This Row],[Espécie]],Tabela8[[#All],[Espécie]:[Nome fantasia]],4, FALSE), 0)</f>
        <v>Ariranha - 3º ciclo</v>
      </c>
      <c r="K327" s="165" t="s">
        <v>592</v>
      </c>
      <c r="L327" s="165" t="s">
        <v>592</v>
      </c>
    </row>
    <row r="328" spans="1:12" ht="19.5" customHeight="1">
      <c r="A328" s="152" t="s">
        <v>590</v>
      </c>
      <c r="B328" s="173" t="s">
        <v>805</v>
      </c>
      <c r="C328" s="152" t="str">
        <f>VLOOKUP(Tabela134[[#This Row],[Espécie]],Tabela2[[#All],[Espécie]:[Categoria de risco]],2,FALSE)</f>
        <v>bobo-pequeno, pardela-sombria</v>
      </c>
      <c r="D328" s="152" t="str">
        <f>VLOOKUP(Tabela134[[#This Row],[Espécie]],Tabela2[[#All],[Espécie]:[Categoria de risco]],3,FALSE)</f>
        <v>Aves</v>
      </c>
      <c r="E328" s="152" t="str">
        <f>VLOOKUP(Tabela134[[#This Row],[Espécie]],Tabela2[[#All],[Espécie]:[Categoria de risco]],4,FALSE)</f>
        <v>Menos preocupante</v>
      </c>
      <c r="G328" s="60" t="s">
        <v>770</v>
      </c>
      <c r="H328" s="152" t="str">
        <f>VLOOKUP(Tabela134[[#This Row],[UC]],Tabela6[[#All],[UC]:[UF]],2,FALSE)</f>
        <v>RS</v>
      </c>
      <c r="I328" s="230" t="s">
        <v>610</v>
      </c>
      <c r="J328" s="192">
        <f>IFERROR(VLOOKUP(Tabela134[[#This Row],[Espécie]],Tabela8[[#All],[Espécie]:[Nome fantasia]],4, FALSE), 0)</f>
        <v>0</v>
      </c>
      <c r="K328" s="165" t="s">
        <v>592</v>
      </c>
      <c r="L328" s="165" t="s">
        <v>592</v>
      </c>
    </row>
    <row r="329" spans="1:12" ht="19.5" customHeight="1">
      <c r="A329" s="175" t="s">
        <v>2320</v>
      </c>
      <c r="B329" s="147" t="s">
        <v>1838</v>
      </c>
      <c r="C329" s="152" t="str">
        <f>VLOOKUP(Tabela134[[#This Row],[Espécie]],Tabela2[[#All],[Espécie]:[Categoria de risco]],2,FALSE)</f>
        <v>murucututu</v>
      </c>
      <c r="D329" s="179" t="str">
        <f>VLOOKUP(Tabela134[[#This Row],[Espécie]],Tabela2[[#All],[Espécie]:[Categoria de risco]],3,FALSE)</f>
        <v>Aves</v>
      </c>
      <c r="E329" s="152" t="str">
        <f>VLOOKUP(Tabela134[[#This Row],[Espécie]],Tabela2[[#All],[Espécie]:[Categoria de risco]],4,FALSE)</f>
        <v>Criticamente em Perigo</v>
      </c>
      <c r="F329" s="175" t="s">
        <v>2313</v>
      </c>
      <c r="G329" s="175" t="s">
        <v>700</v>
      </c>
      <c r="H329" s="152" t="str">
        <f>VLOOKUP(Tabela134[[#This Row],[UC]],Tabela6[[#All],[UC]:[UF]],2,FALSE)</f>
        <v>SC/RS</v>
      </c>
      <c r="I329" s="230" t="s">
        <v>592</v>
      </c>
      <c r="J329" s="192" t="str">
        <f>IFERROR(VLOOKUP(Tabela134[[#This Row],[Espécie]],Tabela8[[#All],[Espécie]:[Nome fantasia]],4, FALSE), 0)</f>
        <v>Aves da Mata Atlântica - 2º ciclo</v>
      </c>
      <c r="K329" s="165" t="s">
        <v>610</v>
      </c>
      <c r="L329" s="165" t="s">
        <v>610</v>
      </c>
    </row>
    <row r="330" spans="1:12" ht="19.5" customHeight="1">
      <c r="A330" s="175" t="s">
        <v>2320</v>
      </c>
      <c r="B330" s="147" t="s">
        <v>1838</v>
      </c>
      <c r="C330" s="152" t="str">
        <f>VLOOKUP(Tabela134[[#This Row],[Espécie]],Tabela2[[#All],[Espécie]:[Categoria de risco]],2,FALSE)</f>
        <v>murucututu</v>
      </c>
      <c r="D330" s="179" t="str">
        <f>VLOOKUP(Tabela134[[#This Row],[Espécie]],Tabela2[[#All],[Espécie]:[Categoria de risco]],3,FALSE)</f>
        <v>Aves</v>
      </c>
      <c r="E330" s="152" t="str">
        <f>VLOOKUP(Tabela134[[#This Row],[Espécie]],Tabela2[[#All],[Espécie]:[Categoria de risco]],4,FALSE)</f>
        <v>Criticamente em Perigo</v>
      </c>
      <c r="F330" s="175" t="s">
        <v>2313</v>
      </c>
      <c r="G330" s="175" t="s">
        <v>692</v>
      </c>
      <c r="H330" s="152" t="str">
        <f>VLOOKUP(Tabela134[[#This Row],[UC]],Tabela6[[#All],[UC]:[UF]],2,FALSE)</f>
        <v>SC/RS</v>
      </c>
      <c r="I330" s="230" t="s">
        <v>592</v>
      </c>
      <c r="J330" s="192" t="str">
        <f>IFERROR(VLOOKUP(Tabela134[[#This Row],[Espécie]],Tabela8[[#All],[Espécie]:[Nome fantasia]],4, FALSE), 0)</f>
        <v>Aves da Mata Atlântica - 2º ciclo</v>
      </c>
      <c r="K330" s="165" t="s">
        <v>610</v>
      </c>
      <c r="L330" s="165" t="s">
        <v>610</v>
      </c>
    </row>
    <row r="331" spans="1:12" ht="19.5" customHeight="1">
      <c r="A331" s="175" t="s">
        <v>2320</v>
      </c>
      <c r="B331" s="147" t="s">
        <v>1838</v>
      </c>
      <c r="C331" s="152" t="str">
        <f>VLOOKUP(Tabela134[[#This Row],[Espécie]],Tabela2[[#All],[Espécie]:[Categoria de risco]],2,FALSE)</f>
        <v>murucututu</v>
      </c>
      <c r="D331" s="179" t="str">
        <f>VLOOKUP(Tabela134[[#This Row],[Espécie]],Tabela2[[#All],[Espécie]:[Categoria de risco]],3,FALSE)</f>
        <v>Aves</v>
      </c>
      <c r="E331" s="152" t="str">
        <f>VLOOKUP(Tabela134[[#This Row],[Espécie]],Tabela2[[#All],[Espécie]:[Categoria de risco]],4,FALSE)</f>
        <v>Criticamente em Perigo</v>
      </c>
      <c r="F331" s="175" t="s">
        <v>2313</v>
      </c>
      <c r="G331" s="175" t="s">
        <v>688</v>
      </c>
      <c r="H331" s="152" t="str">
        <f>VLOOKUP(Tabela134[[#This Row],[UC]],Tabela6[[#All],[UC]:[UF]],2,FALSE)</f>
        <v>SC</v>
      </c>
      <c r="I331" s="230" t="s">
        <v>592</v>
      </c>
      <c r="J331" s="192" t="str">
        <f>IFERROR(VLOOKUP(Tabela134[[#This Row],[Espécie]],Tabela8[[#All],[Espécie]:[Nome fantasia]],4, FALSE), 0)</f>
        <v>Aves da Mata Atlântica - 2º ciclo</v>
      </c>
      <c r="K331" s="165" t="s">
        <v>610</v>
      </c>
      <c r="L331" s="165" t="s">
        <v>610</v>
      </c>
    </row>
    <row r="332" spans="1:12" ht="19.5" customHeight="1">
      <c r="A332" s="175" t="s">
        <v>2320</v>
      </c>
      <c r="B332" s="147" t="s">
        <v>1838</v>
      </c>
      <c r="C332" s="152" t="str">
        <f>VLOOKUP(Tabela134[[#This Row],[Espécie]],Tabela2[[#All],[Espécie]:[Categoria de risco]],2,FALSE)</f>
        <v>murucututu</v>
      </c>
      <c r="D332" s="179" t="str">
        <f>VLOOKUP(Tabela134[[#This Row],[Espécie]],Tabela2[[#All],[Espécie]:[Categoria de risco]],3,FALSE)</f>
        <v>Aves</v>
      </c>
      <c r="E332" s="152" t="str">
        <f>VLOOKUP(Tabela134[[#This Row],[Espécie]],Tabela2[[#All],[Espécie]:[Categoria de risco]],4,FALSE)</f>
        <v>Criticamente em Perigo</v>
      </c>
      <c r="F332" s="175" t="s">
        <v>2313</v>
      </c>
      <c r="G332" s="175" t="s">
        <v>602</v>
      </c>
      <c r="H332" s="152" t="str">
        <f>VLOOKUP(Tabela134[[#This Row],[UC]],Tabela6[[#All],[UC]:[UF]],2,FALSE)</f>
        <v>SP/PR/MS</v>
      </c>
      <c r="I332" s="230" t="s">
        <v>592</v>
      </c>
      <c r="J332" s="192" t="str">
        <f>IFERROR(VLOOKUP(Tabela134[[#This Row],[Espécie]],Tabela8[[#All],[Espécie]:[Nome fantasia]],4, FALSE), 0)</f>
        <v>Aves da Mata Atlântica - 2º ciclo</v>
      </c>
      <c r="K332" s="165" t="s">
        <v>610</v>
      </c>
      <c r="L332" s="165" t="s">
        <v>610</v>
      </c>
    </row>
    <row r="333" spans="1:12" ht="19.5" customHeight="1">
      <c r="A333" s="175" t="s">
        <v>2320</v>
      </c>
      <c r="B333" s="147" t="s">
        <v>1838</v>
      </c>
      <c r="C333" s="152" t="str">
        <f>VLOOKUP(Tabela134[[#This Row],[Espécie]],Tabela2[[#All],[Espécie]:[Categoria de risco]],2,FALSE)</f>
        <v>murucututu</v>
      </c>
      <c r="D333" s="179" t="str">
        <f>VLOOKUP(Tabela134[[#This Row],[Espécie]],Tabela2[[#All],[Espécie]:[Categoria de risco]],3,FALSE)</f>
        <v>Aves</v>
      </c>
      <c r="E333" s="152" t="str">
        <f>VLOOKUP(Tabela134[[#This Row],[Espécie]],Tabela2[[#All],[Espécie]:[Categoria de risco]],4,FALSE)</f>
        <v>Criticamente em Perigo</v>
      </c>
      <c r="F333" s="175" t="s">
        <v>2313</v>
      </c>
      <c r="G333" s="175" t="s">
        <v>700</v>
      </c>
      <c r="H333" s="152" t="str">
        <f>VLOOKUP(Tabela134[[#This Row],[UC]],Tabela6[[#All],[UC]:[UF]],2,FALSE)</f>
        <v>SC/RS</v>
      </c>
      <c r="I333" s="230" t="s">
        <v>592</v>
      </c>
      <c r="J333" s="192" t="str">
        <f>IFERROR(VLOOKUP(Tabela134[[#This Row],[Espécie]],Tabela8[[#All],[Espécie]:[Nome fantasia]],4, FALSE), 0)</f>
        <v>Aves da Mata Atlântica - 2º ciclo</v>
      </c>
      <c r="K333" s="165" t="s">
        <v>610</v>
      </c>
      <c r="L333" s="165" t="s">
        <v>610</v>
      </c>
    </row>
    <row r="334" spans="1:12" ht="19.5" customHeight="1">
      <c r="A334" s="175" t="s">
        <v>2320</v>
      </c>
      <c r="B334" s="147" t="s">
        <v>1838</v>
      </c>
      <c r="C334" s="152" t="str">
        <f>VLOOKUP(Tabela134[[#This Row],[Espécie]],Tabela2[[#All],[Espécie]:[Categoria de risco]],2,FALSE)</f>
        <v>murucututu</v>
      </c>
      <c r="D334" s="179" t="str">
        <f>VLOOKUP(Tabela134[[#This Row],[Espécie]],Tabela2[[#All],[Espécie]:[Categoria de risco]],3,FALSE)</f>
        <v>Aves</v>
      </c>
      <c r="E334" s="152" t="str">
        <f>VLOOKUP(Tabela134[[#This Row],[Espécie]],Tabela2[[#All],[Espécie]:[Categoria de risco]],4,FALSE)</f>
        <v>Criticamente em Perigo</v>
      </c>
      <c r="F334" s="175" t="s">
        <v>2313</v>
      </c>
      <c r="G334" s="175" t="s">
        <v>692</v>
      </c>
      <c r="H334" s="152" t="str">
        <f>VLOOKUP(Tabela134[[#This Row],[UC]],Tabela6[[#All],[UC]:[UF]],2,FALSE)</f>
        <v>SC/RS</v>
      </c>
      <c r="I334" s="230" t="s">
        <v>592</v>
      </c>
      <c r="J334" s="192" t="str">
        <f>IFERROR(VLOOKUP(Tabela134[[#This Row],[Espécie]],Tabela8[[#All],[Espécie]:[Nome fantasia]],4, FALSE), 0)</f>
        <v>Aves da Mata Atlântica - 2º ciclo</v>
      </c>
      <c r="K334" s="165" t="s">
        <v>610</v>
      </c>
      <c r="L334" s="165" t="s">
        <v>610</v>
      </c>
    </row>
    <row r="335" spans="1:12" ht="19.5" customHeight="1">
      <c r="A335" s="175" t="s">
        <v>2320</v>
      </c>
      <c r="B335" s="147" t="s">
        <v>1838</v>
      </c>
      <c r="C335" s="152" t="str">
        <f>VLOOKUP(Tabela134[[#This Row],[Espécie]],Tabela2[[#All],[Espécie]:[Categoria de risco]],2,FALSE)</f>
        <v>murucututu</v>
      </c>
      <c r="D335" s="179" t="str">
        <f>VLOOKUP(Tabela134[[#This Row],[Espécie]],Tabela2[[#All],[Espécie]:[Categoria de risco]],3,FALSE)</f>
        <v>Aves</v>
      </c>
      <c r="E335" s="152" t="str">
        <f>VLOOKUP(Tabela134[[#This Row],[Espécie]],Tabela2[[#All],[Espécie]:[Categoria de risco]],4,FALSE)</f>
        <v>Criticamente em Perigo</v>
      </c>
      <c r="F335" s="175" t="s">
        <v>2313</v>
      </c>
      <c r="G335" s="175" t="s">
        <v>688</v>
      </c>
      <c r="H335" s="152" t="str">
        <f>VLOOKUP(Tabela134[[#This Row],[UC]],Tabela6[[#All],[UC]:[UF]],2,FALSE)</f>
        <v>SC</v>
      </c>
      <c r="I335" s="230" t="s">
        <v>592</v>
      </c>
      <c r="J335" s="192" t="str">
        <f>IFERROR(VLOOKUP(Tabela134[[#This Row],[Espécie]],Tabela8[[#All],[Espécie]:[Nome fantasia]],4, FALSE), 0)</f>
        <v>Aves da Mata Atlântica - 2º ciclo</v>
      </c>
      <c r="K335" s="165" t="s">
        <v>610</v>
      </c>
      <c r="L335" s="165" t="s">
        <v>610</v>
      </c>
    </row>
    <row r="336" spans="1:12" ht="19.5" customHeight="1">
      <c r="A336" s="152" t="s">
        <v>590</v>
      </c>
      <c r="B336" s="171" t="s">
        <v>639</v>
      </c>
      <c r="C336" s="152" t="str">
        <f>VLOOKUP(Tabela134[[#This Row],[Espécie]],Tabela2[[#All],[Espécie]:[Categoria de risco]],2,FALSE)</f>
        <v>Leão-baio, Leãozinho-da-cara-suja, Onça-do-lombo-preto, Onça-parda, Onça-vermelha, Suçuarana</v>
      </c>
      <c r="D336" s="152" t="str">
        <f>VLOOKUP(Tabela134[[#This Row],[Espécie]],Tabela2[[#All],[Espécie]:[Categoria de risco]],3,FALSE)</f>
        <v>Mamíferos</v>
      </c>
      <c r="E336" s="152" t="str">
        <f>VLOOKUP(Tabela134[[#This Row],[Espécie]],Tabela2[[#All],[Espécie]:[Categoria de risco]],4,FALSE)</f>
        <v>Quase ameaçada</v>
      </c>
      <c r="F336" s="173" t="s">
        <v>640</v>
      </c>
      <c r="G336" s="60" t="s">
        <v>634</v>
      </c>
      <c r="H336" s="152" t="str">
        <f>VLOOKUP(Tabela134[[#This Row],[UC]],Tabela6[[#All],[UC]:[UF]],2,FALSE)</f>
        <v>SC</v>
      </c>
      <c r="I336" s="230" t="s">
        <v>610</v>
      </c>
      <c r="J336" s="192">
        <f>IFERROR(VLOOKUP(Tabela134[[#This Row],[Espécie]],Tabela8[[#All],[Espécie]:[Nome fantasia]],4, FALSE), 0)</f>
        <v>0</v>
      </c>
      <c r="K336" s="165" t="s">
        <v>610</v>
      </c>
      <c r="L336" s="165" t="s">
        <v>592</v>
      </c>
    </row>
    <row r="337" spans="1:12" ht="19.5" customHeight="1">
      <c r="A337" s="152" t="s">
        <v>590</v>
      </c>
      <c r="B337" s="171" t="s">
        <v>639</v>
      </c>
      <c r="C337" s="152" t="str">
        <f>VLOOKUP(Tabela134[[#This Row],[Espécie]],Tabela2[[#All],[Espécie]:[Categoria de risco]],2,FALSE)</f>
        <v>Leão-baio, Leãozinho-da-cara-suja, Onça-do-lombo-preto, Onça-parda, Onça-vermelha, Suçuarana</v>
      </c>
      <c r="D337" s="152" t="str">
        <f>VLOOKUP(Tabela134[[#This Row],[Espécie]],Tabela2[[#All],[Espécie]:[Categoria de risco]],3,FALSE)</f>
        <v>Mamíferos</v>
      </c>
      <c r="E337" s="152" t="str">
        <f>VLOOKUP(Tabela134[[#This Row],[Espécie]],Tabela2[[#All],[Espécie]:[Categoria de risco]],4,FALSE)</f>
        <v>Quase ameaçada</v>
      </c>
      <c r="F337" s="173" t="s">
        <v>640</v>
      </c>
      <c r="G337" s="60" t="s">
        <v>670</v>
      </c>
      <c r="H337" s="152" t="str">
        <f>VLOOKUP(Tabela134[[#This Row],[UC]],Tabela6[[#All],[UC]:[UF]],2,FALSE)</f>
        <v>RS</v>
      </c>
      <c r="I337" s="230" t="s">
        <v>610</v>
      </c>
      <c r="J337" s="192">
        <f>IFERROR(VLOOKUP(Tabela134[[#This Row],[Espécie]],Tabela8[[#All],[Espécie]:[Nome fantasia]],4, FALSE), 0)</f>
        <v>0</v>
      </c>
      <c r="K337" s="165" t="s">
        <v>610</v>
      </c>
      <c r="L337" s="165" t="s">
        <v>610</v>
      </c>
    </row>
    <row r="338" spans="1:12" ht="19.5" customHeight="1">
      <c r="A338" s="152" t="s">
        <v>590</v>
      </c>
      <c r="B338" s="171" t="s">
        <v>639</v>
      </c>
      <c r="C338" s="152" t="str">
        <f>VLOOKUP(Tabela134[[#This Row],[Espécie]],Tabela2[[#All],[Espécie]:[Categoria de risco]],2,FALSE)</f>
        <v>Leão-baio, Leãozinho-da-cara-suja, Onça-do-lombo-preto, Onça-parda, Onça-vermelha, Suçuarana</v>
      </c>
      <c r="D338" s="152" t="str">
        <f>VLOOKUP(Tabela134[[#This Row],[Espécie]],Tabela2[[#All],[Espécie]:[Categoria de risco]],3,FALSE)</f>
        <v>Mamíferos</v>
      </c>
      <c r="E338" s="152" t="str">
        <f>VLOOKUP(Tabela134[[#This Row],[Espécie]],Tabela2[[#All],[Espécie]:[Categoria de risco]],4,FALSE)</f>
        <v>Quase ameaçada</v>
      </c>
      <c r="F338" s="173" t="s">
        <v>640</v>
      </c>
      <c r="G338" s="60" t="s">
        <v>137</v>
      </c>
      <c r="H338" s="152" t="str">
        <f>VLOOKUP(Tabela134[[#This Row],[UC]],Tabela6[[#All],[UC]:[UF]],2,FALSE)</f>
        <v>SC</v>
      </c>
      <c r="I338" s="230" t="s">
        <v>610</v>
      </c>
      <c r="J338" s="192">
        <f>IFERROR(VLOOKUP(Tabela134[[#This Row],[Espécie]],Tabela8[[#All],[Espécie]:[Nome fantasia]],4, FALSE), 0)</f>
        <v>0</v>
      </c>
      <c r="K338" s="165" t="s">
        <v>592</v>
      </c>
      <c r="L338" s="165" t="s">
        <v>592</v>
      </c>
    </row>
    <row r="339" spans="1:12" ht="19.5" customHeight="1">
      <c r="A339" s="152" t="s">
        <v>590</v>
      </c>
      <c r="B339" s="171" t="s">
        <v>639</v>
      </c>
      <c r="C339" s="152" t="str">
        <f>VLOOKUP(Tabela134[[#This Row],[Espécie]],Tabela2[[#All],[Espécie]:[Categoria de risco]],2,FALSE)</f>
        <v>Leão-baio, Leãozinho-da-cara-suja, Onça-do-lombo-preto, Onça-parda, Onça-vermelha, Suçuarana</v>
      </c>
      <c r="D339" s="152" t="str">
        <f>VLOOKUP(Tabela134[[#This Row],[Espécie]],Tabela2[[#All],[Espécie]:[Categoria de risco]],3,FALSE)</f>
        <v>Mamíferos</v>
      </c>
      <c r="E339" s="152" t="str">
        <f>VLOOKUP(Tabela134[[#This Row],[Espécie]],Tabela2[[#All],[Espécie]:[Categoria de risco]],4,FALSE)</f>
        <v>Quase ameaçada</v>
      </c>
      <c r="F339" s="177" t="s">
        <v>691</v>
      </c>
      <c r="G339" s="60" t="s">
        <v>688</v>
      </c>
      <c r="H339" s="152" t="str">
        <f>VLOOKUP(Tabela134[[#This Row],[UC]],Tabela6[[#All],[UC]:[UF]],2,FALSE)</f>
        <v>SC</v>
      </c>
      <c r="I339" s="230" t="s">
        <v>610</v>
      </c>
      <c r="J339" s="192">
        <f>IFERROR(VLOOKUP(Tabela134[[#This Row],[Espécie]],Tabela8[[#All],[Espécie]:[Nome fantasia]],4, FALSE), 0)</f>
        <v>0</v>
      </c>
      <c r="K339" s="165" t="s">
        <v>592</v>
      </c>
      <c r="L339" s="165" t="s">
        <v>592</v>
      </c>
    </row>
    <row r="340" spans="1:12" ht="19.5" customHeight="1">
      <c r="A340" s="152" t="s">
        <v>590</v>
      </c>
      <c r="B340" s="171" t="s">
        <v>639</v>
      </c>
      <c r="C340" s="152" t="str">
        <f>VLOOKUP(Tabela134[[#This Row],[Espécie]],Tabela2[[#All],[Espécie]:[Categoria de risco]],2,FALSE)</f>
        <v>Leão-baio, Leãozinho-da-cara-suja, Onça-do-lombo-preto, Onça-parda, Onça-vermelha, Suçuarana</v>
      </c>
      <c r="D340" s="152" t="str">
        <f>VLOOKUP(Tabela134[[#This Row],[Espécie]],Tabela2[[#All],[Espécie]:[Categoria de risco]],3,FALSE)</f>
        <v>Mamíferos</v>
      </c>
      <c r="E340" s="152" t="str">
        <f>VLOOKUP(Tabela134[[#This Row],[Espécie]],Tabela2[[#All],[Espécie]:[Categoria de risco]],4,FALSE)</f>
        <v>Quase ameaçada</v>
      </c>
      <c r="F340" s="173" t="s">
        <v>640</v>
      </c>
      <c r="G340" s="60" t="s">
        <v>692</v>
      </c>
      <c r="H340" s="152" t="str">
        <f>VLOOKUP(Tabela134[[#This Row],[UC]],Tabela6[[#All],[UC]:[UF]],2,FALSE)</f>
        <v>SC/RS</v>
      </c>
      <c r="I340" s="230" t="s">
        <v>610</v>
      </c>
      <c r="J340" s="192">
        <f>IFERROR(VLOOKUP(Tabela134[[#This Row],[Espécie]],Tabela8[[#All],[Espécie]:[Nome fantasia]],4, FALSE), 0)</f>
        <v>0</v>
      </c>
      <c r="K340" s="165" t="s">
        <v>610</v>
      </c>
      <c r="L340" s="165" t="s">
        <v>592</v>
      </c>
    </row>
    <row r="341" spans="1:12" ht="19.5" customHeight="1">
      <c r="A341" s="152" t="s">
        <v>590</v>
      </c>
      <c r="B341" s="171" t="s">
        <v>639</v>
      </c>
      <c r="C341" s="152" t="str">
        <f>VLOOKUP(Tabela134[[#This Row],[Espécie]],Tabela2[[#All],[Espécie]:[Categoria de risco]],2,FALSE)</f>
        <v>Leão-baio, Leãozinho-da-cara-suja, Onça-do-lombo-preto, Onça-parda, Onça-vermelha, Suçuarana</v>
      </c>
      <c r="D341" s="152" t="str">
        <f>VLOOKUP(Tabela134[[#This Row],[Espécie]],Tabela2[[#All],[Espécie]:[Categoria de risco]],3,FALSE)</f>
        <v>Mamíferos</v>
      </c>
      <c r="E341" s="152" t="str">
        <f>VLOOKUP(Tabela134[[#This Row],[Espécie]],Tabela2[[#All],[Espécie]:[Categoria de risco]],4,FALSE)</f>
        <v>Quase ameaçada</v>
      </c>
      <c r="F341" s="173" t="s">
        <v>640</v>
      </c>
      <c r="G341" s="60" t="s">
        <v>697</v>
      </c>
      <c r="H341" s="152" t="str">
        <f>VLOOKUP(Tabela134[[#This Row],[UC]],Tabela6[[#All],[UC]:[UF]],2,FALSE)</f>
        <v>PR</v>
      </c>
      <c r="I341" s="230" t="s">
        <v>610</v>
      </c>
      <c r="J341" s="192">
        <f>IFERROR(VLOOKUP(Tabela134[[#This Row],[Espécie]],Tabela8[[#All],[Espécie]:[Nome fantasia]],4, FALSE), 0)</f>
        <v>0</v>
      </c>
      <c r="K341" s="165" t="s">
        <v>592</v>
      </c>
      <c r="L341" s="165" t="s">
        <v>592</v>
      </c>
    </row>
    <row r="342" spans="1:12" ht="19.5" customHeight="1">
      <c r="A342" s="152" t="s">
        <v>590</v>
      </c>
      <c r="B342" s="171" t="s">
        <v>639</v>
      </c>
      <c r="C342" s="152" t="str">
        <f>VLOOKUP(Tabela134[[#This Row],[Espécie]],Tabela2[[#All],[Espécie]:[Categoria de risco]],2,FALSE)</f>
        <v>Leão-baio, Leãozinho-da-cara-suja, Onça-do-lombo-preto, Onça-parda, Onça-vermelha, Suçuarana</v>
      </c>
      <c r="D342" s="152" t="str">
        <f>VLOOKUP(Tabela134[[#This Row],[Espécie]],Tabela2[[#All],[Espécie]:[Categoria de risco]],3,FALSE)</f>
        <v>Mamíferos</v>
      </c>
      <c r="E342" s="152" t="str">
        <f>VLOOKUP(Tabela134[[#This Row],[Espécie]],Tabela2[[#All],[Espécie]:[Categoria de risco]],4,FALSE)</f>
        <v>Quase ameaçada</v>
      </c>
      <c r="F342" s="173" t="s">
        <v>640</v>
      </c>
      <c r="G342" s="60" t="s">
        <v>700</v>
      </c>
      <c r="H342" s="152" t="str">
        <f>VLOOKUP(Tabela134[[#This Row],[UC]],Tabela6[[#All],[UC]:[UF]],2,FALSE)</f>
        <v>SC/RS</v>
      </c>
      <c r="I342" s="230" t="s">
        <v>610</v>
      </c>
      <c r="J342" s="192">
        <f>IFERROR(VLOOKUP(Tabela134[[#This Row],[Espécie]],Tabela8[[#All],[Espécie]:[Nome fantasia]],4, FALSE), 0)</f>
        <v>0</v>
      </c>
      <c r="K342" s="165" t="s">
        <v>592</v>
      </c>
      <c r="L342" s="165" t="s">
        <v>592</v>
      </c>
    </row>
    <row r="343" spans="1:12" ht="19.5" customHeight="1">
      <c r="A343" s="152" t="s">
        <v>590</v>
      </c>
      <c r="B343" s="171" t="s">
        <v>639</v>
      </c>
      <c r="C343" s="152" t="str">
        <f>VLOOKUP(Tabela134[[#This Row],[Espécie]],Tabela2[[#All],[Espécie]:[Categoria de risco]],2,FALSE)</f>
        <v>Leão-baio, Leãozinho-da-cara-suja, Onça-do-lombo-preto, Onça-parda, Onça-vermelha, Suçuarana</v>
      </c>
      <c r="D343" s="152" t="str">
        <f>VLOOKUP(Tabela134[[#This Row],[Espécie]],Tabela2[[#All],[Espécie]:[Categoria de risco]],3,FALSE)</f>
        <v>Mamíferos</v>
      </c>
      <c r="E343" s="152" t="str">
        <f>VLOOKUP(Tabela134[[#This Row],[Espécie]],Tabela2[[#All],[Espécie]:[Categoria de risco]],4,FALSE)</f>
        <v>Quase ameaçada</v>
      </c>
      <c r="F343" s="173" t="s">
        <v>640</v>
      </c>
      <c r="G343" s="60" t="s">
        <v>703</v>
      </c>
      <c r="H343" s="152" t="str">
        <f>VLOOKUP(Tabela134[[#This Row],[UC]],Tabela6[[#All],[UC]:[UF]],2,FALSE)</f>
        <v>MS/PR</v>
      </c>
      <c r="I343" s="230" t="s">
        <v>610</v>
      </c>
      <c r="J343" s="192">
        <f>IFERROR(VLOOKUP(Tabela134[[#This Row],[Espécie]],Tabela8[[#All],[Espécie]:[Nome fantasia]],4, FALSE), 0)</f>
        <v>0</v>
      </c>
      <c r="K343" s="165" t="s">
        <v>592</v>
      </c>
      <c r="L343" s="165" t="s">
        <v>592</v>
      </c>
    </row>
    <row r="344" spans="1:12" ht="19.5" customHeight="1">
      <c r="A344" s="152" t="s">
        <v>590</v>
      </c>
      <c r="B344" s="171" t="s">
        <v>639</v>
      </c>
      <c r="C344" s="152" t="str">
        <f>VLOOKUP(Tabela134[[#This Row],[Espécie]],Tabela2[[#All],[Espécie]:[Categoria de risco]],2,FALSE)</f>
        <v>Leão-baio, Leãozinho-da-cara-suja, Onça-do-lombo-preto, Onça-parda, Onça-vermelha, Suçuarana</v>
      </c>
      <c r="D344" s="152" t="str">
        <f>VLOOKUP(Tabela134[[#This Row],[Espécie]],Tabela2[[#All],[Espécie]:[Categoria de risco]],3,FALSE)</f>
        <v>Mamíferos</v>
      </c>
      <c r="E344" s="152" t="str">
        <f>VLOOKUP(Tabela134[[#This Row],[Espécie]],Tabela2[[#All],[Espécie]:[Categoria de risco]],4,FALSE)</f>
        <v>Quase ameaçada</v>
      </c>
      <c r="F344" s="173" t="s">
        <v>640</v>
      </c>
      <c r="G344" s="60" t="s">
        <v>709</v>
      </c>
      <c r="H344" s="152" t="str">
        <f>VLOOKUP(Tabela134[[#This Row],[UC]],Tabela6[[#All],[UC]:[UF]],2,FALSE)</f>
        <v>PR</v>
      </c>
      <c r="I344" s="230" t="s">
        <v>610</v>
      </c>
      <c r="J344" s="192">
        <f>IFERROR(VLOOKUP(Tabela134[[#This Row],[Espécie]],Tabela8[[#All],[Espécie]:[Nome fantasia]],4, FALSE), 0)</f>
        <v>0</v>
      </c>
      <c r="K344" s="165" t="s">
        <v>610</v>
      </c>
      <c r="L344" s="165" t="s">
        <v>592</v>
      </c>
    </row>
    <row r="345" spans="1:12" ht="19.5" customHeight="1">
      <c r="A345" s="152" t="s">
        <v>590</v>
      </c>
      <c r="B345" s="171" t="s">
        <v>639</v>
      </c>
      <c r="C345" s="152" t="str">
        <f>VLOOKUP(Tabela134[[#This Row],[Espécie]],Tabela2[[#All],[Espécie]:[Categoria de risco]],2,FALSE)</f>
        <v>Leão-baio, Leãozinho-da-cara-suja, Onça-do-lombo-preto, Onça-parda, Onça-vermelha, Suçuarana</v>
      </c>
      <c r="D345" s="152" t="str">
        <f>VLOOKUP(Tabela134[[#This Row],[Espécie]],Tabela2[[#All],[Espécie]:[Categoria de risco]],3,FALSE)</f>
        <v>Mamíferos</v>
      </c>
      <c r="E345" s="152" t="str">
        <f>VLOOKUP(Tabela134[[#This Row],[Espécie]],Tabela2[[#All],[Espécie]:[Categoria de risco]],4,FALSE)</f>
        <v>Quase ameaçada</v>
      </c>
      <c r="F345" s="177" t="s">
        <v>691</v>
      </c>
      <c r="G345" s="60" t="s">
        <v>711</v>
      </c>
      <c r="H345" s="152" t="str">
        <f>VLOOKUP(Tabela134[[#This Row],[UC]],Tabela6[[#All],[UC]:[UF]],2,FALSE)</f>
        <v>SC</v>
      </c>
      <c r="I345" s="230" t="s">
        <v>610</v>
      </c>
      <c r="J345" s="192">
        <f>IFERROR(VLOOKUP(Tabela134[[#This Row],[Espécie]],Tabela8[[#All],[Espécie]:[Nome fantasia]],4, FALSE), 0)</f>
        <v>0</v>
      </c>
      <c r="K345" s="165" t="s">
        <v>592</v>
      </c>
      <c r="L345" s="165" t="s">
        <v>592</v>
      </c>
    </row>
    <row r="346" spans="1:12" ht="19.5" customHeight="1">
      <c r="A346" s="152" t="s">
        <v>590</v>
      </c>
      <c r="B346" s="171" t="s">
        <v>639</v>
      </c>
      <c r="C346" s="152" t="str">
        <f>VLOOKUP(Tabela134[[#This Row],[Espécie]],Tabela2[[#All],[Espécie]:[Categoria de risco]],2,FALSE)</f>
        <v>Leão-baio, Leãozinho-da-cara-suja, Onça-do-lombo-preto, Onça-parda, Onça-vermelha, Suçuarana</v>
      </c>
      <c r="D346" s="152" t="str">
        <f>VLOOKUP(Tabela134[[#This Row],[Espécie]],Tabela2[[#All],[Espécie]:[Categoria de risco]],3,FALSE)</f>
        <v>Mamíferos</v>
      </c>
      <c r="E346" s="152" t="str">
        <f>VLOOKUP(Tabela134[[#This Row],[Espécie]],Tabela2[[#All],[Espécie]:[Categoria de risco]],4,FALSE)</f>
        <v>Quase ameaçada</v>
      </c>
      <c r="F346" s="173" t="s">
        <v>640</v>
      </c>
      <c r="G346" s="60" t="s">
        <v>715</v>
      </c>
      <c r="H346" s="152" t="str">
        <f>VLOOKUP(Tabela134[[#This Row],[UC]],Tabela6[[#All],[UC]:[UF]],2,FALSE)</f>
        <v>PR</v>
      </c>
      <c r="I346" s="230" t="s">
        <v>610</v>
      </c>
      <c r="J346" s="192">
        <f>IFERROR(VLOOKUP(Tabela134[[#This Row],[Espécie]],Tabela8[[#All],[Espécie]:[Nome fantasia]],4, FALSE), 0)</f>
        <v>0</v>
      </c>
      <c r="K346" s="165" t="s">
        <v>592</v>
      </c>
      <c r="L346" s="165" t="s">
        <v>592</v>
      </c>
    </row>
    <row r="347" spans="1:12" ht="32.25" customHeight="1">
      <c r="A347" s="152" t="s">
        <v>590</v>
      </c>
      <c r="B347" s="171" t="s">
        <v>639</v>
      </c>
      <c r="C347" s="152" t="str">
        <f>VLOOKUP(Tabela134[[#This Row],[Espécie]],Tabela2[[#All],[Espécie]:[Categoria de risco]],2,FALSE)</f>
        <v>Leão-baio, Leãozinho-da-cara-suja, Onça-do-lombo-preto, Onça-parda, Onça-vermelha, Suçuarana</v>
      </c>
      <c r="D347" s="152" t="str">
        <f>VLOOKUP(Tabela134[[#This Row],[Espécie]],Tabela2[[#All],[Espécie]:[Categoria de risco]],3,FALSE)</f>
        <v>Mamíferos</v>
      </c>
      <c r="E347" s="152" t="str">
        <f>VLOOKUP(Tabela134[[#This Row],[Espécie]],Tabela2[[#All],[Espécie]:[Categoria de risco]],4,FALSE)</f>
        <v>Quase ameaçada</v>
      </c>
      <c r="F347" s="173"/>
      <c r="G347" s="60" t="s">
        <v>718</v>
      </c>
      <c r="H347" s="152" t="str">
        <f>VLOOKUP(Tabela134[[#This Row],[UC]],Tabela6[[#All],[UC]:[UF]],2,FALSE)</f>
        <v>SP/PR</v>
      </c>
      <c r="I347" s="230" t="s">
        <v>610</v>
      </c>
      <c r="J347" s="192">
        <f>IFERROR(VLOOKUP(Tabela134[[#This Row],[Espécie]],Tabela8[[#All],[Espécie]:[Nome fantasia]],4, FALSE), 0)</f>
        <v>0</v>
      </c>
      <c r="K347" s="165" t="s">
        <v>592</v>
      </c>
      <c r="L347" s="165" t="s">
        <v>592</v>
      </c>
    </row>
    <row r="348" spans="1:12" ht="32.25" customHeight="1">
      <c r="A348" s="152" t="s">
        <v>590</v>
      </c>
      <c r="B348" s="171" t="s">
        <v>639</v>
      </c>
      <c r="C348" s="152" t="str">
        <f>VLOOKUP(Tabela134[[#This Row],[Espécie]],Tabela2[[#All],[Espécie]:[Categoria de risco]],2,FALSE)</f>
        <v>Leão-baio, Leãozinho-da-cara-suja, Onça-do-lombo-preto, Onça-parda, Onça-vermelha, Suçuarana</v>
      </c>
      <c r="D348" s="152" t="str">
        <f>VLOOKUP(Tabela134[[#This Row],[Espécie]],Tabela2[[#All],[Espécie]:[Categoria de risco]],3,FALSE)</f>
        <v>Mamíferos</v>
      </c>
      <c r="E348" s="152" t="str">
        <f>VLOOKUP(Tabela134[[#This Row],[Espécie]],Tabela2[[#All],[Espécie]:[Categoria de risco]],4,FALSE)</f>
        <v>Quase ameaçada</v>
      </c>
      <c r="F348" s="173" t="s">
        <v>640</v>
      </c>
      <c r="G348" s="60" t="s">
        <v>726</v>
      </c>
      <c r="H348" s="152" t="str">
        <f>VLOOKUP(Tabela134[[#This Row],[UC]],Tabela6[[#All],[UC]:[UF]],2,FALSE)</f>
        <v>PR</v>
      </c>
      <c r="I348" s="230" t="s">
        <v>610</v>
      </c>
      <c r="J348" s="192">
        <f>IFERROR(VLOOKUP(Tabela134[[#This Row],[Espécie]],Tabela8[[#All],[Espécie]:[Nome fantasia]],4, FALSE), 0)</f>
        <v>0</v>
      </c>
      <c r="K348" s="165" t="s">
        <v>592</v>
      </c>
      <c r="L348" s="165" t="s">
        <v>592</v>
      </c>
    </row>
    <row r="349" spans="1:12" ht="32.25" customHeight="1">
      <c r="A349" s="152" t="s">
        <v>622</v>
      </c>
      <c r="B349" s="171" t="s">
        <v>639</v>
      </c>
      <c r="C349" s="152" t="str">
        <f>VLOOKUP(Tabela134[[#This Row],[Espécie]],Tabela2[[#All],[Espécie]:[Categoria de risco]],2,FALSE)</f>
        <v>Leão-baio, Leãozinho-da-cara-suja, Onça-do-lombo-preto, Onça-parda, Onça-vermelha, Suçuarana</v>
      </c>
      <c r="D349" s="152" t="str">
        <f>VLOOKUP(Tabela134[[#This Row],[Espécie]],Tabela2[[#All],[Espécie]:[Categoria de risco]],3,FALSE)</f>
        <v>Mamíferos</v>
      </c>
      <c r="E349" s="152" t="str">
        <f>VLOOKUP(Tabela134[[#This Row],[Espécie]],Tabela2[[#All],[Espécie]:[Categoria de risco]],4,FALSE)</f>
        <v>Quase ameaçada</v>
      </c>
      <c r="G349" s="60" t="s">
        <v>655</v>
      </c>
      <c r="H349" s="152" t="str">
        <f>VLOOKUP(Tabela134[[#This Row],[UC]],Tabela6[[#All],[UC]:[UF]],2,FALSE)</f>
        <v>SC</v>
      </c>
      <c r="I349" s="230" t="s">
        <v>610</v>
      </c>
      <c r="J349" s="192">
        <f>IFERROR(VLOOKUP(Tabela134[[#This Row],[Espécie]],Tabela8[[#All],[Espécie]:[Nome fantasia]],4, FALSE), 0)</f>
        <v>0</v>
      </c>
      <c r="K349" s="165" t="s">
        <v>592</v>
      </c>
      <c r="L349" s="165" t="s">
        <v>592</v>
      </c>
    </row>
    <row r="350" spans="1:12" ht="32.25" customHeight="1">
      <c r="A350" s="152" t="s">
        <v>622</v>
      </c>
      <c r="B350" s="171" t="s">
        <v>639</v>
      </c>
      <c r="C350" s="152" t="str">
        <f>VLOOKUP(Tabela134[[#This Row],[Espécie]],Tabela2[[#All],[Espécie]:[Categoria de risco]],2,FALSE)</f>
        <v>Leão-baio, Leãozinho-da-cara-suja, Onça-do-lombo-preto, Onça-parda, Onça-vermelha, Suçuarana</v>
      </c>
      <c r="D350" s="152" t="str">
        <f>VLOOKUP(Tabela134[[#This Row],[Espécie]],Tabela2[[#All],[Espécie]:[Categoria de risco]],3,FALSE)</f>
        <v>Mamíferos</v>
      </c>
      <c r="E350" s="152" t="str">
        <f>VLOOKUP(Tabela134[[#This Row],[Espécie]],Tabela2[[#All],[Espécie]:[Categoria de risco]],4,FALSE)</f>
        <v>Quase ameaçada</v>
      </c>
      <c r="F350" s="152" t="s">
        <v>712</v>
      </c>
      <c r="G350" s="60" t="s">
        <v>711</v>
      </c>
      <c r="H350" s="152" t="str">
        <f>VLOOKUP(Tabela134[[#This Row],[UC]],Tabela6[[#All],[UC]:[UF]],2,FALSE)</f>
        <v>SC</v>
      </c>
      <c r="I350" s="230" t="s">
        <v>610</v>
      </c>
      <c r="J350" s="192">
        <f>IFERROR(VLOOKUP(Tabela134[[#This Row],[Espécie]],Tabela8[[#All],[Espécie]:[Nome fantasia]],4, FALSE), 0)</f>
        <v>0</v>
      </c>
      <c r="K350" s="165" t="s">
        <v>592</v>
      </c>
      <c r="L350" s="165" t="s">
        <v>592</v>
      </c>
    </row>
    <row r="351" spans="1:12" ht="32.25" customHeight="1">
      <c r="A351" s="152" t="s">
        <v>622</v>
      </c>
      <c r="B351" s="171" t="s">
        <v>639</v>
      </c>
      <c r="C351" s="152" t="str">
        <f>VLOOKUP(Tabela134[[#This Row],[Espécie]],Tabela2[[#All],[Espécie]:[Categoria de risco]],2,FALSE)</f>
        <v>Leão-baio, Leãozinho-da-cara-suja, Onça-do-lombo-preto, Onça-parda, Onça-vermelha, Suçuarana</v>
      </c>
      <c r="D351" s="152" t="str">
        <f>VLOOKUP(Tabela134[[#This Row],[Espécie]],Tabela2[[#All],[Espécie]:[Categoria de risco]],3,FALSE)</f>
        <v>Mamíferos</v>
      </c>
      <c r="E351" s="152" t="str">
        <f>VLOOKUP(Tabela134[[#This Row],[Espécie]],Tabela2[[#All],[Espécie]:[Categoria de risco]],4,FALSE)</f>
        <v>Quase ameaçada</v>
      </c>
      <c r="F351" s="152" t="s">
        <v>721</v>
      </c>
      <c r="G351" s="60" t="s">
        <v>722</v>
      </c>
      <c r="H351" s="152" t="str">
        <f>VLOOKUP(Tabela134[[#This Row],[UC]],Tabela6[[#All],[UC]:[UF]],2,FALSE)</f>
        <v>PR</v>
      </c>
      <c r="I351" s="230" t="s">
        <v>610</v>
      </c>
      <c r="J351" s="192">
        <f>IFERROR(VLOOKUP(Tabela134[[#This Row],[Espécie]],Tabela8[[#All],[Espécie]:[Nome fantasia]],4, FALSE), 0)</f>
        <v>0</v>
      </c>
      <c r="K351" s="165" t="s">
        <v>592</v>
      </c>
      <c r="L351" s="165" t="s">
        <v>592</v>
      </c>
    </row>
    <row r="352" spans="1:12" ht="32.25" customHeight="1">
      <c r="A352" s="152" t="s">
        <v>590</v>
      </c>
      <c r="B352" s="171" t="s">
        <v>660</v>
      </c>
      <c r="C352" s="152" t="str">
        <f>VLOOKUP(Tabela134[[#This Row],[Espécie]],Tabela2[[#All],[Espécie]:[Categoria de risco]],2,FALSE)</f>
        <v>Gato-azul, Gato-mourisco, Gato-vermelho, Jaguarundi</v>
      </c>
      <c r="D352" s="152" t="str">
        <f>VLOOKUP(Tabela134[[#This Row],[Espécie]],Tabela2[[#All],[Espécie]:[Categoria de risco]],3,FALSE)</f>
        <v>Mamíferos</v>
      </c>
      <c r="E352" s="152" t="str">
        <f>VLOOKUP(Tabela134[[#This Row],[Espécie]],Tabela2[[#All],[Espécie]:[Categoria de risco]],4,FALSE)</f>
        <v>Menos preocupante</v>
      </c>
      <c r="F352" s="152" t="s">
        <v>661</v>
      </c>
      <c r="G352" s="60" t="s">
        <v>656</v>
      </c>
      <c r="H352" s="152" t="str">
        <f>VLOOKUP(Tabela134[[#This Row],[UC]],Tabela6[[#All],[UC]:[UF]],2,FALSE)</f>
        <v>RS</v>
      </c>
      <c r="I352" s="230" t="s">
        <v>610</v>
      </c>
      <c r="J352" s="192">
        <f>IFERROR(VLOOKUP(Tabela134[[#This Row],[Espécie]],Tabela8[[#All],[Espécie]:[Nome fantasia]],4, FALSE), 0)</f>
        <v>0</v>
      </c>
      <c r="K352" s="165" t="s">
        <v>610</v>
      </c>
      <c r="L352" s="165" t="s">
        <v>610</v>
      </c>
    </row>
    <row r="353" spans="1:12" ht="32.25" customHeight="1">
      <c r="A353" s="152" t="s">
        <v>590</v>
      </c>
      <c r="B353" s="173" t="s">
        <v>836</v>
      </c>
      <c r="C353" s="152" t="str">
        <f>VLOOKUP(Tabela134[[#This Row],[Espécie]],Tabela2[[#All],[Espécie]:[Categoria de risco]],2,FALSE)</f>
        <v>Sardinha</v>
      </c>
      <c r="D353" s="152" t="str">
        <f>VLOOKUP(Tabela134[[#This Row],[Espécie]],Tabela2[[#All],[Espécie]:[Categoria de risco]],3,FALSE)</f>
        <v>Peixes Marinhos (ósseos)</v>
      </c>
      <c r="E353" s="152" t="str">
        <f>VLOOKUP(Tabela134[[#This Row],[Espécie]],Tabela2[[#All],[Espécie]:[Categoria de risco]],4,FALSE)</f>
        <v>Menos preocupante</v>
      </c>
      <c r="F353" s="152" t="s">
        <v>834</v>
      </c>
      <c r="G353" s="60" t="s">
        <v>770</v>
      </c>
      <c r="H353" s="152" t="str">
        <f>VLOOKUP(Tabela134[[#This Row],[UC]],Tabela6[[#All],[UC]:[UF]],2,FALSE)</f>
        <v>RS</v>
      </c>
      <c r="I353" s="230" t="s">
        <v>610</v>
      </c>
      <c r="J353" s="192">
        <f>IFERROR(VLOOKUP(Tabela134[[#This Row],[Espécie]],Tabela8[[#All],[Espécie]:[Nome fantasia]],4, FALSE), 0)</f>
        <v>0</v>
      </c>
      <c r="K353" s="165" t="s">
        <v>592</v>
      </c>
      <c r="L353" s="165" t="s">
        <v>592</v>
      </c>
    </row>
    <row r="354" spans="1:12" ht="32.25" customHeight="1">
      <c r="A354" s="152" t="s">
        <v>590</v>
      </c>
      <c r="B354" s="169" t="s">
        <v>662</v>
      </c>
      <c r="C354" s="152" t="str">
        <f>VLOOKUP(Tabela134[[#This Row],[Espécie]],Tabela2[[#All],[Espécie]:[Categoria de risco]],2,FALSE)</f>
        <v>Caracol</v>
      </c>
      <c r="D354" s="152" t="str">
        <f>VLOOKUP(Tabela134[[#This Row],[Espécie]],Tabela2[[#All],[Espécie]:[Categoria de risco]],3,FALSE)</f>
        <v>Invertebrados Terrestres</v>
      </c>
      <c r="E354" s="152" t="str">
        <f>VLOOKUP(Tabela134[[#This Row],[Espécie]],Tabela2[[#All],[Espécie]:[Categoria de risco]],4,FALSE)</f>
        <v>Dados insuficientes</v>
      </c>
      <c r="G354" s="60" t="s">
        <v>656</v>
      </c>
      <c r="H354" s="152" t="str">
        <f>VLOOKUP(Tabela134[[#This Row],[UC]],Tabela6[[#All],[UC]:[UF]],2,FALSE)</f>
        <v>RS</v>
      </c>
      <c r="I354" s="230" t="s">
        <v>610</v>
      </c>
      <c r="J354" s="192">
        <f>IFERROR(VLOOKUP(Tabela134[[#This Row],[Espécie]],Tabela8[[#All],[Espécie]:[Nome fantasia]],4, FALSE), 0)</f>
        <v>0</v>
      </c>
      <c r="K354" s="165" t="s">
        <v>610</v>
      </c>
      <c r="L354" s="165" t="s">
        <v>610</v>
      </c>
    </row>
    <row r="355" spans="1:12" ht="32.25" customHeight="1">
      <c r="A355" s="152" t="s">
        <v>590</v>
      </c>
      <c r="B355" s="171" t="s">
        <v>776</v>
      </c>
      <c r="C355" s="152" t="str">
        <f>VLOOKUP(Tabela134[[#This Row],[Espécie]],Tabela2[[#All],[Espécie]:[Categoria de risco]],2,FALSE)</f>
        <v>cação-estrela, tubarão-baleia, tubarão-estrela</v>
      </c>
      <c r="D355" s="152" t="str">
        <f>VLOOKUP(Tabela134[[#This Row],[Espécie]],Tabela2[[#All],[Espécie]:[Categoria de risco]],3,FALSE)</f>
        <v>Tubarões e Raias</v>
      </c>
      <c r="E355" s="152" t="str">
        <f>VLOOKUP(Tabela134[[#This Row],[Espécie]],Tabela2[[#All],[Espécie]:[Categoria de risco]],4,FALSE)</f>
        <v>Vulnerável</v>
      </c>
      <c r="F355" s="152" t="s">
        <v>695</v>
      </c>
      <c r="G355" s="60" t="s">
        <v>770</v>
      </c>
      <c r="H355" s="152" t="str">
        <f>VLOOKUP(Tabela134[[#This Row],[UC]],Tabela6[[#All],[UC]:[UF]],2,FALSE)</f>
        <v>RS</v>
      </c>
      <c r="I355" s="230" t="s">
        <v>592</v>
      </c>
      <c r="J355" s="192" t="str">
        <f>IFERROR(VLOOKUP(Tabela134[[#This Row],[Espécie]],Tabela8[[#All],[Espécie]:[Nome fantasia]],4, FALSE), 0)</f>
        <v xml:space="preserve">Tubarões - 2º ciclo </v>
      </c>
      <c r="K355" s="165" t="s">
        <v>592</v>
      </c>
      <c r="L355" s="165" t="s">
        <v>592</v>
      </c>
    </row>
    <row r="356" spans="1:12" ht="32.25" customHeight="1">
      <c r="A356" s="175" t="s">
        <v>2320</v>
      </c>
      <c r="B356" s="147" t="s">
        <v>1840</v>
      </c>
      <c r="C356" s="152" t="str">
        <f>VLOOKUP(Tabela134[[#This Row],[Espécie]],Tabela2[[#All],[Espécie]:[Categoria de risco]],2,FALSE)</f>
        <v>Raia-beiço-de-boi</v>
      </c>
      <c r="D356" s="179" t="str">
        <f>VLOOKUP(Tabela134[[#This Row],[Espécie]],Tabela2[[#All],[Espécie]:[Categoria de risco]],3,FALSE)</f>
        <v>Tubarões e Raias</v>
      </c>
      <c r="E356" s="152" t="str">
        <f>VLOOKUP(Tabela134[[#This Row],[Espécie]],Tabela2[[#All],[Espécie]:[Categoria de risco]],4,FALSE)</f>
        <v>Criticamente em Perigo</v>
      </c>
      <c r="F356" s="175" t="s">
        <v>2313</v>
      </c>
      <c r="G356" s="175" t="s">
        <v>613</v>
      </c>
      <c r="H356" s="152" t="str">
        <f>VLOOKUP(Tabela134[[#This Row],[UC]],Tabela6[[#All],[UC]:[UF]],2,FALSE)</f>
        <v>SP/PR</v>
      </c>
      <c r="I356" s="230" t="s">
        <v>592</v>
      </c>
      <c r="J356" s="192" t="str">
        <f>IFERROR(VLOOKUP(Tabela134[[#This Row],[Espécie]],Tabela8[[#All],[Espécie]:[Nome fantasia]],4, FALSE), 0)</f>
        <v xml:space="preserve">Tubarões - 2º ciclo </v>
      </c>
      <c r="K356" s="165" t="s">
        <v>610</v>
      </c>
      <c r="L356" s="165" t="s">
        <v>610</v>
      </c>
    </row>
    <row r="357" spans="1:12" ht="32.25" customHeight="1">
      <c r="A357" s="175" t="s">
        <v>2320</v>
      </c>
      <c r="B357" s="147" t="s">
        <v>1840</v>
      </c>
      <c r="C357" s="152" t="str">
        <f>VLOOKUP(Tabela134[[#This Row],[Espécie]],Tabela2[[#All],[Espécie]:[Categoria de risco]],2,FALSE)</f>
        <v>Raia-beiço-de-boi</v>
      </c>
      <c r="D357" s="179" t="str">
        <f>VLOOKUP(Tabela134[[#This Row],[Espécie]],Tabela2[[#All],[Espécie]:[Categoria de risco]],3,FALSE)</f>
        <v>Tubarões e Raias</v>
      </c>
      <c r="E357" s="152" t="str">
        <f>VLOOKUP(Tabela134[[#This Row],[Espécie]],Tabela2[[#All],[Espécie]:[Categoria de risco]],4,FALSE)</f>
        <v>Criticamente em Perigo</v>
      </c>
      <c r="F357" s="175" t="s">
        <v>2313</v>
      </c>
      <c r="G357" s="175" t="s">
        <v>718</v>
      </c>
      <c r="H357" s="152" t="str">
        <f>VLOOKUP(Tabela134[[#This Row],[UC]],Tabela6[[#All],[UC]:[UF]],2,FALSE)</f>
        <v>SP/PR</v>
      </c>
      <c r="I357" s="230" t="s">
        <v>592</v>
      </c>
      <c r="J357" s="192" t="str">
        <f>IFERROR(VLOOKUP(Tabela134[[#This Row],[Espécie]],Tabela8[[#All],[Espécie]:[Nome fantasia]],4, FALSE), 0)</f>
        <v xml:space="preserve">Tubarões - 2º ciclo </v>
      </c>
      <c r="K357" s="165" t="s">
        <v>610</v>
      </c>
      <c r="L357" s="165" t="s">
        <v>610</v>
      </c>
    </row>
    <row r="358" spans="1:12" ht="32.25" customHeight="1">
      <c r="A358" s="152" t="s">
        <v>590</v>
      </c>
      <c r="B358" s="171" t="s">
        <v>756</v>
      </c>
      <c r="C358" s="152" t="str">
        <f>VLOOKUP(Tabela134[[#This Row],[Espécie]],Tabela2[[#All],[Espécie]:[Categoria de risco]],2,FALSE)</f>
        <v>emplastro, raia-santa</v>
      </c>
      <c r="D358" s="152" t="str">
        <f>VLOOKUP(Tabela134[[#This Row],[Espécie]],Tabela2[[#All],[Espécie]:[Categoria de risco]],3,FALSE)</f>
        <v>Tubarões e Raias</v>
      </c>
      <c r="E358" s="152" t="str">
        <f>VLOOKUP(Tabela134[[#This Row],[Espécie]],Tabela2[[#All],[Espécie]:[Categoria de risco]],4,FALSE)</f>
        <v>Vulnerável</v>
      </c>
      <c r="G358" s="60" t="s">
        <v>730</v>
      </c>
      <c r="H358" s="152" t="str">
        <f>VLOOKUP(Tabela134[[#This Row],[UC]],Tabela6[[#All],[UC]:[UF]],2,FALSE)</f>
        <v>SC</v>
      </c>
      <c r="I358" s="230" t="s">
        <v>592</v>
      </c>
      <c r="J358" s="192" t="str">
        <f>IFERROR(VLOOKUP(Tabela134[[#This Row],[Espécie]],Tabela8[[#All],[Espécie]:[Nome fantasia]],4, FALSE), 0)</f>
        <v xml:space="preserve">Tubarões - 2º ciclo </v>
      </c>
      <c r="K358" s="165" t="s">
        <v>592</v>
      </c>
      <c r="L358" s="165" t="s">
        <v>592</v>
      </c>
    </row>
    <row r="359" spans="1:12" ht="32.25" customHeight="1">
      <c r="A359" s="152" t="s">
        <v>590</v>
      </c>
      <c r="B359" s="173" t="s">
        <v>797</v>
      </c>
      <c r="C359" s="152" t="str">
        <f>VLOOKUP(Tabela134[[#This Row],[Espécie]],Tabela2[[#All],[Espécie]:[Categoria de risco]],2,FALSE)</f>
        <v>Talha-mar</v>
      </c>
      <c r="D359" s="152" t="str">
        <f>VLOOKUP(Tabela134[[#This Row],[Espécie]],Tabela2[[#All],[Espécie]:[Categoria de risco]],3,FALSE)</f>
        <v>Aves</v>
      </c>
      <c r="E359" s="152" t="str">
        <f>VLOOKUP(Tabela134[[#This Row],[Espécie]],Tabela2[[#All],[Espécie]:[Categoria de risco]],4,FALSE)</f>
        <v>Menos preocupante</v>
      </c>
      <c r="G359" s="60" t="s">
        <v>770</v>
      </c>
      <c r="H359" s="152" t="str">
        <f>VLOOKUP(Tabela134[[#This Row],[UC]],Tabela6[[#All],[UC]:[UF]],2,FALSE)</f>
        <v>RS</v>
      </c>
      <c r="I359" s="230" t="s">
        <v>610</v>
      </c>
      <c r="J359" s="192">
        <f>IFERROR(VLOOKUP(Tabela134[[#This Row],[Espécie]],Tabela8[[#All],[Espécie]:[Nome fantasia]],4, FALSE), 0)</f>
        <v>0</v>
      </c>
      <c r="K359" s="165" t="s">
        <v>592</v>
      </c>
      <c r="L359" s="165" t="s">
        <v>592</v>
      </c>
    </row>
    <row r="360" spans="1:12" ht="32.25" customHeight="1">
      <c r="A360" s="152" t="s">
        <v>622</v>
      </c>
      <c r="B360" s="171" t="s">
        <v>632</v>
      </c>
      <c r="C360" s="152" t="str">
        <f>VLOOKUP(Tabela134[[#This Row],[Espécie]],Tabela2[[#All],[Espécie]:[Categoria de risco]],2,FALSE)</f>
        <v>Macaco-prego, macaco-prego-do-papo-amarelo</v>
      </c>
      <c r="D360" s="152" t="str">
        <f>VLOOKUP(Tabela134[[#This Row],[Espécie]],Tabela2[[#All],[Espécie]:[Categoria de risco]],3,FALSE)</f>
        <v>Mamíferos</v>
      </c>
      <c r="E360" s="152" t="str">
        <f>VLOOKUP(Tabela134[[#This Row],[Espécie]],Tabela2[[#All],[Espécie]:[Categoria de risco]],4,FALSE)</f>
        <v>Vulnerável</v>
      </c>
      <c r="G360" s="60" t="s">
        <v>629</v>
      </c>
      <c r="H360" s="152" t="str">
        <f>VLOOKUP(Tabela134[[#This Row],[UC]],Tabela6[[#All],[UC]:[UF]],2,FALSE)</f>
        <v>SC</v>
      </c>
      <c r="I360" s="230" t="s">
        <v>592</v>
      </c>
      <c r="J360" s="192" t="str">
        <f>IFERROR(VLOOKUP(Tabela134[[#This Row],[Espécie]],Tabela8[[#All],[Espécie]:[Nome fantasia]],4, FALSE), 0)</f>
        <v xml:space="preserve">(Previsto) CERPAM - 2º ciclo </v>
      </c>
      <c r="K360" s="165" t="s">
        <v>592</v>
      </c>
      <c r="L360" s="165" t="s">
        <v>592</v>
      </c>
    </row>
    <row r="361" spans="1:12" ht="32.25" customHeight="1">
      <c r="A361" s="152" t="s">
        <v>590</v>
      </c>
      <c r="B361" s="173" t="s">
        <v>831</v>
      </c>
      <c r="C361" s="152" t="str">
        <f>VLOOKUP(Tabela134[[#This Row],[Espécie]],Tabela2[[#All],[Espécie]:[Categoria de risco]],2,FALSE)</f>
        <v>sardinha-verdadeira</v>
      </c>
      <c r="D361" s="152" t="str">
        <f>VLOOKUP(Tabela134[[#This Row],[Espécie]],Tabela2[[#All],[Espécie]:[Categoria de risco]],3,FALSE)</f>
        <v>Peixes Marinhos (ósseos)</v>
      </c>
      <c r="E361" s="152" t="str">
        <f>VLOOKUP(Tabela134[[#This Row],[Espécie]],Tabela2[[#All],[Espécie]:[Categoria de risco]],4,FALSE)</f>
        <v>Menos preocupante</v>
      </c>
      <c r="G361" s="60" t="s">
        <v>770</v>
      </c>
      <c r="H361" s="152" t="str">
        <f>VLOOKUP(Tabela134[[#This Row],[UC]],Tabela6[[#All],[UC]:[UF]],2,FALSE)</f>
        <v>RS</v>
      </c>
      <c r="I361" s="230" t="s">
        <v>610</v>
      </c>
      <c r="J361" s="192">
        <f>IFERROR(VLOOKUP(Tabela134[[#This Row],[Espécie]],Tabela8[[#All],[Espécie]:[Nome fantasia]],4, FALSE), 0)</f>
        <v>0</v>
      </c>
      <c r="K361" s="165" t="s">
        <v>592</v>
      </c>
      <c r="L361" s="165" t="s">
        <v>592</v>
      </c>
    </row>
    <row r="362" spans="1:12" ht="32.25" customHeight="1">
      <c r="A362" s="152" t="s">
        <v>590</v>
      </c>
      <c r="B362" s="171" t="s">
        <v>745</v>
      </c>
      <c r="C362" s="152" t="str">
        <f>VLOOKUP(Tabela134[[#This Row],[Espécie]],Tabela2[[#All],[Espécie]:[Categoria de risco]],2,FALSE)</f>
        <v>peixe-papagaio-azul,	 budião-azul</v>
      </c>
      <c r="D362" s="152" t="str">
        <f>VLOOKUP(Tabela134[[#This Row],[Espécie]],Tabela2[[#All],[Espécie]:[Categoria de risco]],3,FALSE)</f>
        <v>Peixes Marinhos (Ósseos)</v>
      </c>
      <c r="E362" s="152" t="str">
        <f>VLOOKUP(Tabela134[[#This Row],[Espécie]],Tabela2[[#All],[Espécie]:[Categoria de risco]],4,FALSE)</f>
        <v>Em perigo</v>
      </c>
      <c r="F362" s="172" t="s">
        <v>636</v>
      </c>
      <c r="G362" s="60" t="s">
        <v>730</v>
      </c>
      <c r="H362" s="152" t="str">
        <f>VLOOKUP(Tabela134[[#This Row],[UC]],Tabela6[[#All],[UC]:[UF]],2,FALSE)</f>
        <v>SC</v>
      </c>
      <c r="I362" s="230" t="s">
        <v>610</v>
      </c>
      <c r="J362" s="192">
        <f>IFERROR(VLOOKUP(Tabela134[[#This Row],[Espécie]],Tabela8[[#All],[Espécie]:[Nome fantasia]],4, FALSE), 0)</f>
        <v>0</v>
      </c>
      <c r="K362" s="165" t="s">
        <v>592</v>
      </c>
      <c r="L362" s="165" t="s">
        <v>592</v>
      </c>
    </row>
    <row r="363" spans="1:12" ht="32.25" customHeight="1">
      <c r="A363" s="152" t="s">
        <v>590</v>
      </c>
      <c r="B363" s="171" t="s">
        <v>746</v>
      </c>
      <c r="C363" s="152" t="str">
        <f>VLOOKUP(Tabela134[[#This Row],[Espécie]],Tabela2[[#All],[Espécie]:[Categoria de risco]],2,FALSE)</f>
        <v>budião-banana, papagaio-banana, peixe-papagaio-banana</v>
      </c>
      <c r="D363" s="152" t="str">
        <f>VLOOKUP(Tabela134[[#This Row],[Espécie]],Tabela2[[#All],[Espécie]:[Categoria de risco]],3,FALSE)</f>
        <v>Peixes Marinhos (Ósseos)</v>
      </c>
      <c r="E363" s="152" t="str">
        <f>VLOOKUP(Tabela134[[#This Row],[Espécie]],Tabela2[[#All],[Espécie]:[Categoria de risco]],4,FALSE)</f>
        <v>Vulnerável</v>
      </c>
      <c r="F363" s="172" t="s">
        <v>636</v>
      </c>
      <c r="G363" s="60" t="s">
        <v>730</v>
      </c>
      <c r="H363" s="152" t="str">
        <f>VLOOKUP(Tabela134[[#This Row],[UC]],Tabela6[[#All],[UC]:[UF]],2,FALSE)</f>
        <v>SC</v>
      </c>
      <c r="I363" s="230" t="s">
        <v>610</v>
      </c>
      <c r="J363" s="192">
        <f>IFERROR(VLOOKUP(Tabela134[[#This Row],[Espécie]],Tabela8[[#All],[Espécie]:[Nome fantasia]],4, FALSE), 0)</f>
        <v>0</v>
      </c>
      <c r="K363" s="165" t="s">
        <v>592</v>
      </c>
      <c r="L363" s="165" t="s">
        <v>592</v>
      </c>
    </row>
    <row r="364" spans="1:12" ht="32.25" customHeight="1">
      <c r="A364" s="175" t="s">
        <v>2320</v>
      </c>
      <c r="B364" s="147" t="s">
        <v>1440</v>
      </c>
      <c r="C364" s="152" t="str">
        <f>VLOOKUP(Tabela134[[#This Row],[Espécie]],Tabela2[[#All],[Espécie]:[Categoria de risco]],2,FALSE)</f>
        <v>Limpa-fundo</v>
      </c>
      <c r="D364" s="179" t="str">
        <f>VLOOKUP(Tabela134[[#This Row],[Espécie]],Tabela2[[#All],[Espécie]:[Categoria de risco]],3,FALSE)</f>
        <v>Peixes Continentais</v>
      </c>
      <c r="E364" s="152" t="str">
        <f>VLOOKUP(Tabela134[[#This Row],[Espécie]],Tabela2[[#All],[Espécie]:[Categoria de risco]],4,FALSE)</f>
        <v>Em Perigo</v>
      </c>
      <c r="F364" s="175" t="s">
        <v>2313</v>
      </c>
      <c r="G364" s="175" t="s">
        <v>613</v>
      </c>
      <c r="H364" s="152" t="str">
        <f>VLOOKUP(Tabela134[[#This Row],[UC]],Tabela6[[#All],[UC]:[UF]],2,FALSE)</f>
        <v>SP/PR</v>
      </c>
      <c r="I364" s="230" t="s">
        <v>592</v>
      </c>
      <c r="J364" s="192" t="str">
        <f>IFERROR(VLOOKUP(Tabela134[[#This Row],[Espécie]],Tabela8[[#All],[Espécie]:[Nome fantasia]],4, FALSE), 0)</f>
        <v>Peixes e Eglas da Mata Atlântica</v>
      </c>
      <c r="K364" s="165" t="s">
        <v>610</v>
      </c>
      <c r="L364" s="165" t="s">
        <v>610</v>
      </c>
    </row>
    <row r="365" spans="1:12" ht="32.25" customHeight="1">
      <c r="A365" s="152" t="s">
        <v>622</v>
      </c>
      <c r="B365" s="171" t="s">
        <v>678</v>
      </c>
      <c r="C365" s="152" t="str">
        <f>VLOOKUP(Tabela134[[#This Row],[Espécie]],Tabela2[[#All],[Espécie]:[Categoria de risco]],2,FALSE)</f>
        <v>macuquinho-da-várzea</v>
      </c>
      <c r="D365" s="152" t="str">
        <f>VLOOKUP(Tabela134[[#This Row],[Espécie]],Tabela2[[#All],[Espécie]:[Categoria de risco]],3,FALSE)</f>
        <v>Aves</v>
      </c>
      <c r="E365" s="152" t="str">
        <f>VLOOKUP(Tabela134[[#This Row],[Espécie]],Tabela2[[#All],[Espécie]:[Categoria de risco]],4,FALSE)</f>
        <v>Em Perigo</v>
      </c>
      <c r="G365" s="60" t="s">
        <v>137</v>
      </c>
      <c r="H365" s="152" t="str">
        <f>VLOOKUP(Tabela134[[#This Row],[UC]],Tabela6[[#All],[UC]:[UF]],2,FALSE)</f>
        <v>SC</v>
      </c>
      <c r="I365" s="230" t="s">
        <v>592</v>
      </c>
      <c r="J365" s="192" t="str">
        <f>IFERROR(VLOOKUP(Tabela134[[#This Row],[Espécie]],Tabela8[[#All],[Espécie]:[Nome fantasia]],4, FALSE), 0)</f>
        <v>Aves da Mata Atlântica - 2º ciclo</v>
      </c>
      <c r="K365" s="165" t="s">
        <v>592</v>
      </c>
      <c r="L365" s="165" t="s">
        <v>592</v>
      </c>
    </row>
    <row r="366" spans="1:12" ht="32.25" customHeight="1">
      <c r="A366" s="152" t="s">
        <v>590</v>
      </c>
      <c r="B366" s="171" t="s">
        <v>609</v>
      </c>
      <c r="C366" s="152" t="str">
        <f>VLOOKUP(Tabela134[[#This Row],[Espécie]],Tabela2[[#All],[Espécie]:[Categoria de risco]],2,FALSE)</f>
        <v>Boto, Boto-cinza</v>
      </c>
      <c r="D366" s="152" t="str">
        <f>VLOOKUP(Tabela134[[#This Row],[Espécie]],Tabela2[[#All],[Espécie]:[Categoria de risco]],3,FALSE)</f>
        <v>Mamíferos</v>
      </c>
      <c r="E366" s="152" t="str">
        <f>VLOOKUP(Tabela134[[#This Row],[Espécie]],Tabela2[[#All],[Espécie]:[Categoria de risco]],4,FALSE)</f>
        <v>Vulnerável</v>
      </c>
      <c r="G366" s="60" t="s">
        <v>2322</v>
      </c>
      <c r="H366" s="152" t="str">
        <f>VLOOKUP(Tabela134[[#This Row],[UC]],Tabela6[[#All],[UC]:[UF]],2,FALSE)</f>
        <v>SC</v>
      </c>
      <c r="I366" s="230" t="s">
        <v>592</v>
      </c>
      <c r="J366" s="192" t="str">
        <f>IFERROR(VLOOKUP(Tabela134[[#This Row],[Espécie]],Tabela8[[#All],[Espécie]:[Nome fantasia]],4, FALSE), 0)</f>
        <v>Cetáceos Marinhos</v>
      </c>
      <c r="K366" s="165" t="s">
        <v>592</v>
      </c>
      <c r="L366" s="165" t="s">
        <v>592</v>
      </c>
    </row>
    <row r="367" spans="1:12" ht="32.25" customHeight="1">
      <c r="A367" s="152" t="s">
        <v>590</v>
      </c>
      <c r="B367" s="171" t="s">
        <v>747</v>
      </c>
      <c r="C367" s="152" t="str">
        <f>VLOOKUP(Tabela134[[#This Row],[Espécie]],Tabela2[[#All],[Espécie]:[Categoria de risco]],2,FALSE)</f>
        <v>Peixe-papagaio-cinza</v>
      </c>
      <c r="D367" s="152" t="str">
        <f>VLOOKUP(Tabela134[[#This Row],[Espécie]],Tabela2[[#All],[Espécie]:[Categoria de risco]],3,FALSE)</f>
        <v>Peixes Marinhos (Ósseos)</v>
      </c>
      <c r="E367" s="152" t="str">
        <f>VLOOKUP(Tabela134[[#This Row],[Espécie]],Tabela2[[#All],[Espécie]:[Categoria de risco]],4,FALSE)</f>
        <v>Vulnerável</v>
      </c>
      <c r="G367" s="60" t="s">
        <v>730</v>
      </c>
      <c r="H367" s="152" t="str">
        <f>VLOOKUP(Tabela134[[#This Row],[UC]],Tabela6[[#All],[UC]:[UF]],2,FALSE)</f>
        <v>SC</v>
      </c>
      <c r="I367" s="230" t="s">
        <v>610</v>
      </c>
      <c r="J367" s="192">
        <f>IFERROR(VLOOKUP(Tabela134[[#This Row],[Espécie]],Tabela8[[#All],[Espécie]:[Nome fantasia]],4, FALSE), 0)</f>
        <v>0</v>
      </c>
      <c r="K367" s="165" t="s">
        <v>592</v>
      </c>
      <c r="L367" s="165" t="s">
        <v>592</v>
      </c>
    </row>
    <row r="368" spans="1:12" ht="32.25" customHeight="1">
      <c r="A368" s="152" t="s">
        <v>590</v>
      </c>
      <c r="B368" s="171" t="s">
        <v>748</v>
      </c>
      <c r="C368" s="152" t="str">
        <f>VLOOKUP(Tabela134[[#This Row],[Espécie]],Tabela2[[#All],[Espécie]:[Categoria de risco]],2,FALSE)</f>
        <v>Peixe-papagaio-cinza</v>
      </c>
      <c r="D368" s="152" t="str">
        <f>VLOOKUP(Tabela134[[#This Row],[Espécie]],Tabela2[[#All],[Espécie]:[Categoria de risco]],3,FALSE)</f>
        <v>Peixes Marinhos (Ósseos)</v>
      </c>
      <c r="E368" s="152" t="str">
        <f>VLOOKUP(Tabela134[[#This Row],[Espécie]],Tabela2[[#All],[Espécie]:[Categoria de risco]],4,FALSE)</f>
        <v>Vulnerável</v>
      </c>
      <c r="G368" s="60" t="s">
        <v>730</v>
      </c>
      <c r="H368" s="152" t="str">
        <f>VLOOKUP(Tabela134[[#This Row],[UC]],Tabela6[[#All],[UC]:[UF]],2,FALSE)</f>
        <v>SC</v>
      </c>
      <c r="I368" s="230" t="s">
        <v>610</v>
      </c>
      <c r="J368" s="192">
        <f>IFERROR(VLOOKUP(Tabela134[[#This Row],[Espécie]],Tabela8[[#All],[Espécie]:[Nome fantasia]],4, FALSE), 0)</f>
        <v>0</v>
      </c>
      <c r="K368" s="165" t="s">
        <v>592</v>
      </c>
      <c r="L368" s="165" t="s">
        <v>592</v>
      </c>
    </row>
    <row r="369" spans="1:12" ht="32.25" customHeight="1">
      <c r="A369" s="152" t="s">
        <v>590</v>
      </c>
      <c r="B369" s="171" t="s">
        <v>727</v>
      </c>
      <c r="C369" s="152" t="str">
        <f>VLOOKUP(Tabela134[[#This Row],[Espécie]],Tabela2[[#All],[Espécie]:[Categoria de risco]],2,FALSE)</f>
        <v>cachorro-do-mato-vinagre, cachorro-vinagre</v>
      </c>
      <c r="D369" s="152" t="str">
        <f>VLOOKUP(Tabela134[[#This Row],[Espécie]],Tabela2[[#All],[Espécie]:[Categoria de risco]],3,FALSE)</f>
        <v>Mamíferos</v>
      </c>
      <c r="E369" s="152" t="str">
        <f>VLOOKUP(Tabela134[[#This Row],[Espécie]],Tabela2[[#All],[Espécie]:[Categoria de risco]],4,FALSE)</f>
        <v>Vulnerável</v>
      </c>
      <c r="G369" s="60" t="s">
        <v>726</v>
      </c>
      <c r="H369" s="152" t="str">
        <f>VLOOKUP(Tabela134[[#This Row],[UC]],Tabela6[[#All],[UC]:[UF]],2,FALSE)</f>
        <v>PR</v>
      </c>
      <c r="I369" s="230" t="s">
        <v>592</v>
      </c>
      <c r="J369" s="192" t="str">
        <f>IFERROR(VLOOKUP(Tabela134[[#This Row],[Espécie]],Tabela8[[#All],[Espécie]:[Nome fantasia]],4, FALSE), 0)</f>
        <v xml:space="preserve">Canídeos - 2º ciclo </v>
      </c>
      <c r="K369" s="165" t="s">
        <v>592</v>
      </c>
      <c r="L369" s="165" t="s">
        <v>592</v>
      </c>
    </row>
    <row r="370" spans="1:12" ht="32.25" customHeight="1">
      <c r="A370" s="152" t="s">
        <v>590</v>
      </c>
      <c r="B370" s="173" t="s">
        <v>801</v>
      </c>
      <c r="C370" s="152" t="str">
        <f>VLOOKUP(Tabela134[[#This Row],[Espécie]],Tabela2[[#All],[Espécie]:[Categoria de risco]],2,FALSE)</f>
        <v>pinguim-de-magalhães</v>
      </c>
      <c r="D370" s="152" t="str">
        <f>VLOOKUP(Tabela134[[#This Row],[Espécie]],Tabela2[[#All],[Espécie]:[Categoria de risco]],3,FALSE)</f>
        <v>Aves</v>
      </c>
      <c r="E370" s="152" t="str">
        <f>VLOOKUP(Tabela134[[#This Row],[Espécie]],Tabela2[[#All],[Espécie]:[Categoria de risco]],4,FALSE)</f>
        <v>Quase ameaçada</v>
      </c>
      <c r="G370" s="60" t="s">
        <v>770</v>
      </c>
      <c r="H370" s="152" t="str">
        <f>VLOOKUP(Tabela134[[#This Row],[UC]],Tabela6[[#All],[UC]:[UF]],2,FALSE)</f>
        <v>RS</v>
      </c>
      <c r="I370" s="230" t="s">
        <v>592</v>
      </c>
      <c r="J370" s="192" t="str">
        <f>IFERROR(VLOOKUP(Tabela134[[#This Row],[Espécie]],Tabela8[[#All],[Espécie]:[Nome fantasia]],4, FALSE), 0)</f>
        <v>Aves Marinhas - 2º ciclo</v>
      </c>
      <c r="K370" s="165" t="s">
        <v>592</v>
      </c>
      <c r="L370" s="165" t="s">
        <v>592</v>
      </c>
    </row>
    <row r="371" spans="1:12" ht="32.25" customHeight="1">
      <c r="A371" s="152" t="s">
        <v>590</v>
      </c>
      <c r="B371" s="171" t="s">
        <v>774</v>
      </c>
      <c r="C371" s="152" t="str">
        <f>VLOOKUP(Tabela134[[#This Row],[Espécie]],Tabela2[[#All],[Espécie]:[Categoria de risco]],2,FALSE)</f>
        <v>Tubarão-marcelo</v>
      </c>
      <c r="D371" s="152" t="str">
        <f>VLOOKUP(Tabela134[[#This Row],[Espécie]],Tabela2[[#All],[Espécie]:[Categoria de risco]],3,FALSE)</f>
        <v>Tubarões e Raias</v>
      </c>
      <c r="E371" s="152" t="str">
        <f>VLOOKUP(Tabela134[[#This Row],[Espécie]],Tabela2[[#All],[Espécie]:[Categoria de risco]],4,FALSE)</f>
        <v>Criticamente em Perigo</v>
      </c>
      <c r="G371" s="60" t="s">
        <v>770</v>
      </c>
      <c r="H371" s="152" t="str">
        <f>VLOOKUP(Tabela134[[#This Row],[UC]],Tabela6[[#All],[UC]:[UF]],2,FALSE)</f>
        <v>RS</v>
      </c>
      <c r="I371" s="230" t="s">
        <v>592</v>
      </c>
      <c r="J371" s="192" t="str">
        <f>IFERROR(VLOOKUP(Tabela134[[#This Row],[Espécie]],Tabela8[[#All],[Espécie]:[Nome fantasia]],4, FALSE), 0)</f>
        <v xml:space="preserve">Tubarões - 2º ciclo </v>
      </c>
      <c r="K371" s="165" t="s">
        <v>592</v>
      </c>
      <c r="L371" s="165" t="s">
        <v>592</v>
      </c>
    </row>
    <row r="372" spans="1:12" ht="32.25" customHeight="1">
      <c r="A372" s="175" t="s">
        <v>2320</v>
      </c>
      <c r="B372" s="147" t="s">
        <v>1849</v>
      </c>
      <c r="C372" s="152" t="str">
        <f>VLOOKUP(Tabela134[[#This Row],[Espécie]],Tabela2[[#All],[Espécie]:[Categoria de risco]],2,FALSE)</f>
        <v>cambeva, cambeva-preta, cambevota, tubarão-martelo, tubarão-martelo-liso</v>
      </c>
      <c r="D372" s="179" t="str">
        <f>VLOOKUP(Tabela134[[#This Row],[Espécie]],Tabela2[[#All],[Espécie]:[Categoria de risco]],3,FALSE)</f>
        <v>Tubarões e Raias</v>
      </c>
      <c r="E372" s="152" t="str">
        <f>VLOOKUP(Tabela134[[#This Row],[Espécie]],Tabela2[[#All],[Espécie]:[Categoria de risco]],4,FALSE)</f>
        <v>Criticamente em Perigo</v>
      </c>
      <c r="F372" s="175" t="s">
        <v>2313</v>
      </c>
      <c r="G372" s="174" t="s">
        <v>91</v>
      </c>
      <c r="H372" s="152" t="str">
        <f>VLOOKUP(Tabela134[[#This Row],[UC]],Tabela6[[#All],[UC]:[UF]],2,FALSE)</f>
        <v>SC</v>
      </c>
      <c r="I372" s="230" t="s">
        <v>592</v>
      </c>
      <c r="J372" s="192" t="str">
        <f>IFERROR(VLOOKUP(Tabela134[[#This Row],[Espécie]],Tabela8[[#All],[Espécie]:[Nome fantasia]],4, FALSE), 0)</f>
        <v xml:space="preserve">Tubarões - 2º ciclo </v>
      </c>
      <c r="K372" s="165" t="s">
        <v>610</v>
      </c>
      <c r="L372" s="165" t="s">
        <v>610</v>
      </c>
    </row>
    <row r="373" spans="1:12" ht="32.25" customHeight="1">
      <c r="A373" s="175" t="s">
        <v>2320</v>
      </c>
      <c r="B373" s="147" t="s">
        <v>1849</v>
      </c>
      <c r="C373" s="152" t="str">
        <f>VLOOKUP(Tabela134[[#This Row],[Espécie]],Tabela2[[#All],[Espécie]:[Categoria de risco]],2,FALSE)</f>
        <v>cambeva, cambeva-preta, cambevota, tubarão-martelo, tubarão-martelo-liso</v>
      </c>
      <c r="D373" s="179" t="str">
        <f>VLOOKUP(Tabela134[[#This Row],[Espécie]],Tabela2[[#All],[Espécie]:[Categoria de risco]],3,FALSE)</f>
        <v>Tubarões e Raias</v>
      </c>
      <c r="E373" s="152" t="str">
        <f>VLOOKUP(Tabela134[[#This Row],[Espécie]],Tabela2[[#All],[Espécie]:[Categoria de risco]],4,FALSE)</f>
        <v>Criticamente em Perigo</v>
      </c>
      <c r="F373" s="175" t="s">
        <v>2313</v>
      </c>
      <c r="G373" s="174" t="s">
        <v>730</v>
      </c>
      <c r="H373" s="152" t="str">
        <f>VLOOKUP(Tabela134[[#This Row],[UC]],Tabela6[[#All],[UC]:[UF]],2,FALSE)</f>
        <v>SC</v>
      </c>
      <c r="I373" s="230" t="s">
        <v>592</v>
      </c>
      <c r="J373" s="192" t="str">
        <f>IFERROR(VLOOKUP(Tabela134[[#This Row],[Espécie]],Tabela8[[#All],[Espécie]:[Nome fantasia]],4, FALSE), 0)</f>
        <v xml:space="preserve">Tubarões - 2º ciclo </v>
      </c>
      <c r="K373" s="165" t="s">
        <v>610</v>
      </c>
      <c r="L373" s="165" t="s">
        <v>610</v>
      </c>
    </row>
    <row r="374" spans="1:12" ht="32.25" customHeight="1">
      <c r="A374" s="175" t="s">
        <v>2320</v>
      </c>
      <c r="B374" s="147" t="s">
        <v>1441</v>
      </c>
      <c r="C374" s="152" t="str">
        <f>VLOOKUP(Tabela134[[#This Row],[Espécie]],Tabela2[[#All],[Espécie]:[Categoria de risco]],2,FALSE)</f>
        <v>Lambari</v>
      </c>
      <c r="D374" s="179" t="str">
        <f>VLOOKUP(Tabela134[[#This Row],[Espécie]],Tabela2[[#All],[Espécie]:[Categoria de risco]],3,FALSE)</f>
        <v>Peixes Continentais</v>
      </c>
      <c r="E374" s="152" t="str">
        <f>VLOOKUP(Tabela134[[#This Row],[Espécie]],Tabela2[[#All],[Espécie]:[Categoria de risco]],4,FALSE)</f>
        <v>Vulnerável</v>
      </c>
      <c r="F374" s="175" t="s">
        <v>2313</v>
      </c>
      <c r="G374" s="175" t="s">
        <v>613</v>
      </c>
      <c r="H374" s="152" t="str">
        <f>VLOOKUP(Tabela134[[#This Row],[UC]],Tabela6[[#All],[UC]:[UF]],2,FALSE)</f>
        <v>SP/PR</v>
      </c>
      <c r="I374" s="230" t="s">
        <v>592</v>
      </c>
      <c r="J374" s="192" t="str">
        <f>IFERROR(VLOOKUP(Tabela134[[#This Row],[Espécie]],Tabela8[[#All],[Espécie]:[Nome fantasia]],4, FALSE), 0)</f>
        <v>Peixes e Eglas da Mata Atlântica</v>
      </c>
      <c r="K374" s="165" t="s">
        <v>610</v>
      </c>
      <c r="L374" s="165" t="s">
        <v>610</v>
      </c>
    </row>
    <row r="375" spans="1:12" ht="32.25" customHeight="1">
      <c r="A375" s="175" t="s">
        <v>2320</v>
      </c>
      <c r="B375" s="147" t="s">
        <v>1279</v>
      </c>
      <c r="C375" s="152" t="str">
        <f>VLOOKUP(Tabela134[[#This Row],[Espécie]],Tabela2[[#All],[Espécie]:[Categoria de risco]],2,FALSE)</f>
        <v>cigarra-verdadeira</v>
      </c>
      <c r="D375" s="179" t="str">
        <f>VLOOKUP(Tabela134[[#This Row],[Espécie]],Tabela2[[#All],[Espécie]:[Categoria de risco]],3,FALSE)</f>
        <v>Aves</v>
      </c>
      <c r="E375" s="152" t="str">
        <f>VLOOKUP(Tabela134[[#This Row],[Espécie]],Tabela2[[#All],[Espécie]:[Categoria de risco]],4,FALSE)</f>
        <v>Vulnerável</v>
      </c>
      <c r="F375" s="175" t="s">
        <v>2313</v>
      </c>
      <c r="G375" s="175" t="s">
        <v>613</v>
      </c>
      <c r="H375" s="152" t="str">
        <f>VLOOKUP(Tabela134[[#This Row],[UC]],Tabela6[[#All],[UC]:[UF]],2,FALSE)</f>
        <v>SP/PR</v>
      </c>
      <c r="I375" s="230" t="s">
        <v>592</v>
      </c>
      <c r="J375" s="192" t="str">
        <f>IFERROR(VLOOKUP(Tabela134[[#This Row],[Espécie]],Tabela8[[#All],[Espécie]:[Nome fantasia]],4, FALSE), 0)</f>
        <v>Aves da Mata Atlântica - 2º ciclo</v>
      </c>
      <c r="K375" s="165" t="s">
        <v>610</v>
      </c>
      <c r="L375" s="165" t="s">
        <v>610</v>
      </c>
    </row>
    <row r="376" spans="1:12" ht="32.25" customHeight="1">
      <c r="A376" s="152" t="s">
        <v>590</v>
      </c>
      <c r="B376" s="171" t="s">
        <v>642</v>
      </c>
      <c r="C376" s="152" t="str">
        <f>VLOOKUP(Tabela134[[#This Row],[Espécie]],Tabela2[[#All],[Espécie]:[Categoria de risco]],2,FALSE)</f>
        <v>pixoxó</v>
      </c>
      <c r="D376" s="152" t="str">
        <f>VLOOKUP(Tabela134[[#This Row],[Espécie]],Tabela2[[#All],[Espécie]:[Categoria de risco]],3,FALSE)</f>
        <v>Aves</v>
      </c>
      <c r="E376" s="152" t="str">
        <f>VLOOKUP(Tabela134[[#This Row],[Espécie]],Tabela2[[#All],[Espécie]:[Categoria de risco]],4,FALSE)</f>
        <v>Vulnerável</v>
      </c>
      <c r="G376" s="60" t="s">
        <v>643</v>
      </c>
      <c r="H376" s="152" t="str">
        <f>VLOOKUP(Tabela134[[#This Row],[UC]],Tabela6[[#All],[UC]:[UF]],2,FALSE)</f>
        <v>SC</v>
      </c>
      <c r="I376" s="230" t="s">
        <v>592</v>
      </c>
      <c r="J376" s="192" t="str">
        <f>IFERROR(VLOOKUP(Tabela134[[#This Row],[Espécie]],Tabela8[[#All],[Espécie]:[Nome fantasia]],4, FALSE), 0)</f>
        <v>Aves da Mata Atlântica - 2º ciclo</v>
      </c>
      <c r="K376" s="165" t="s">
        <v>592</v>
      </c>
      <c r="L376" s="165" t="s">
        <v>592</v>
      </c>
    </row>
    <row r="377" spans="1:12" ht="32.25" customHeight="1">
      <c r="A377" s="175" t="s">
        <v>2320</v>
      </c>
      <c r="B377" s="147" t="s">
        <v>1192</v>
      </c>
      <c r="C377" s="152" t="str">
        <f>VLOOKUP(Tabela134[[#This Row],[Espécie]],Tabela2[[#All],[Espécie]:[Categoria de risco]],2,FALSE)</f>
        <v>caboclinho-de-barriga-vermelha</v>
      </c>
      <c r="D377" s="179" t="str">
        <f>VLOOKUP(Tabela134[[#This Row],[Espécie]],Tabela2[[#All],[Espécie]:[Categoria de risco]],3,FALSE)</f>
        <v>Aves</v>
      </c>
      <c r="E377" s="152" t="str">
        <f>VLOOKUP(Tabela134[[#This Row],[Espécie]],Tabela2[[#All],[Espécie]:[Categoria de risco]],4,FALSE)</f>
        <v>Vulnerável</v>
      </c>
      <c r="F377" s="175" t="s">
        <v>2313</v>
      </c>
      <c r="G377" s="174" t="s">
        <v>602</v>
      </c>
      <c r="H377" s="152" t="str">
        <f>VLOOKUP(Tabela134[[#This Row],[UC]],Tabela6[[#All],[UC]:[UF]],2,FALSE)</f>
        <v>SP/PR/MS</v>
      </c>
      <c r="I377" s="230" t="s">
        <v>592</v>
      </c>
      <c r="J377" s="192" t="str">
        <f>IFERROR(VLOOKUP(Tabela134[[#This Row],[Espécie]],Tabela8[[#All],[Espécie]:[Nome fantasia]],4, FALSE), 0)</f>
        <v>Aves da Mata Atlântica - 2º ciclo</v>
      </c>
      <c r="K377" s="165" t="s">
        <v>610</v>
      </c>
      <c r="L377" s="165" t="s">
        <v>610</v>
      </c>
    </row>
    <row r="378" spans="1:12" ht="32.25" customHeight="1">
      <c r="A378" s="175" t="s">
        <v>2320</v>
      </c>
      <c r="B378" s="147" t="s">
        <v>1192</v>
      </c>
      <c r="C378" s="152" t="str">
        <f>VLOOKUP(Tabela134[[#This Row],[Espécie]],Tabela2[[#All],[Espécie]:[Categoria de risco]],2,FALSE)</f>
        <v>caboclinho-de-barriga-vermelha</v>
      </c>
      <c r="D378" s="179" t="str">
        <f>VLOOKUP(Tabela134[[#This Row],[Espécie]],Tabela2[[#All],[Espécie]:[Categoria de risco]],3,FALSE)</f>
        <v>Aves</v>
      </c>
      <c r="E378" s="152" t="str">
        <f>VLOOKUP(Tabela134[[#This Row],[Espécie]],Tabela2[[#All],[Espécie]:[Categoria de risco]],4,FALSE)</f>
        <v>Vulnerável</v>
      </c>
      <c r="F378" s="175" t="s">
        <v>2313</v>
      </c>
      <c r="G378" s="174" t="s">
        <v>137</v>
      </c>
      <c r="H378" s="152" t="str">
        <f>VLOOKUP(Tabela134[[#This Row],[UC]],Tabela6[[#All],[UC]:[UF]],2,FALSE)</f>
        <v>SC</v>
      </c>
      <c r="I378" s="230" t="s">
        <v>592</v>
      </c>
      <c r="J378" s="192" t="str">
        <f>IFERROR(VLOOKUP(Tabela134[[#This Row],[Espécie]],Tabela8[[#All],[Espécie]:[Nome fantasia]],4, FALSE), 0)</f>
        <v>Aves da Mata Atlântica - 2º ciclo</v>
      </c>
      <c r="K378" s="165" t="s">
        <v>610</v>
      </c>
      <c r="L378" s="165" t="s">
        <v>610</v>
      </c>
    </row>
    <row r="379" spans="1:12" ht="32.25" customHeight="1">
      <c r="A379" s="175" t="s">
        <v>2320</v>
      </c>
      <c r="B379" s="147" t="s">
        <v>1192</v>
      </c>
      <c r="C379" s="152" t="str">
        <f>VLOOKUP(Tabela134[[#This Row],[Espécie]],Tabela2[[#All],[Espécie]:[Categoria de risco]],2,FALSE)</f>
        <v>caboclinho-de-barriga-vermelha</v>
      </c>
      <c r="D379" s="179" t="str">
        <f>VLOOKUP(Tabela134[[#This Row],[Espécie]],Tabela2[[#All],[Espécie]:[Categoria de risco]],3,FALSE)</f>
        <v>Aves</v>
      </c>
      <c r="E379" s="152" t="str">
        <f>VLOOKUP(Tabela134[[#This Row],[Espécie]],Tabela2[[#All],[Espécie]:[Categoria de risco]],4,FALSE)</f>
        <v>Vulnerável</v>
      </c>
      <c r="F379" s="175" t="s">
        <v>2313</v>
      </c>
      <c r="G379" s="174" t="s">
        <v>703</v>
      </c>
      <c r="H379" s="152" t="str">
        <f>VLOOKUP(Tabela134[[#This Row],[UC]],Tabela6[[#All],[UC]:[UF]],2,FALSE)</f>
        <v>MS/PR</v>
      </c>
      <c r="I379" s="230" t="s">
        <v>592</v>
      </c>
      <c r="J379" s="192" t="str">
        <f>IFERROR(VLOOKUP(Tabela134[[#This Row],[Espécie]],Tabela8[[#All],[Espécie]:[Nome fantasia]],4, FALSE), 0)</f>
        <v>Aves da Mata Atlântica - 2º ciclo</v>
      </c>
      <c r="K379" s="165" t="s">
        <v>610</v>
      </c>
      <c r="L379" s="165" t="s">
        <v>610</v>
      </c>
    </row>
    <row r="380" spans="1:12" ht="32.25" customHeight="1">
      <c r="A380" s="175" t="s">
        <v>2320</v>
      </c>
      <c r="B380" s="147" t="s">
        <v>1192</v>
      </c>
      <c r="C380" s="152" t="str">
        <f>VLOOKUP(Tabela134[[#This Row],[Espécie]],Tabela2[[#All],[Espécie]:[Categoria de risco]],2,FALSE)</f>
        <v>caboclinho-de-barriga-vermelha</v>
      </c>
      <c r="D380" s="179" t="str">
        <f>VLOOKUP(Tabela134[[#This Row],[Espécie]],Tabela2[[#All],[Espécie]:[Categoria de risco]],3,FALSE)</f>
        <v>Aves</v>
      </c>
      <c r="E380" s="152" t="str">
        <f>VLOOKUP(Tabela134[[#This Row],[Espécie]],Tabela2[[#All],[Espécie]:[Categoria de risco]],4,FALSE)</f>
        <v>Vulnerável</v>
      </c>
      <c r="F380" s="175" t="s">
        <v>2313</v>
      </c>
      <c r="G380" s="174" t="s">
        <v>711</v>
      </c>
      <c r="H380" s="152" t="str">
        <f>VLOOKUP(Tabela134[[#This Row],[UC]],Tabela6[[#All],[UC]:[UF]],2,FALSE)</f>
        <v>SC</v>
      </c>
      <c r="I380" s="230" t="s">
        <v>592</v>
      </c>
      <c r="J380" s="192" t="str">
        <f>IFERROR(VLOOKUP(Tabela134[[#This Row],[Espécie]],Tabela8[[#All],[Espécie]:[Nome fantasia]],4, FALSE), 0)</f>
        <v>Aves da Mata Atlântica - 2º ciclo</v>
      </c>
      <c r="K380" s="165" t="s">
        <v>610</v>
      </c>
      <c r="L380" s="165" t="s">
        <v>610</v>
      </c>
    </row>
    <row r="381" spans="1:12" ht="32.25" customHeight="1">
      <c r="A381" s="175" t="s">
        <v>2320</v>
      </c>
      <c r="B381" s="147" t="s">
        <v>1194</v>
      </c>
      <c r="C381" s="152" t="str">
        <f>VLOOKUP(Tabela134[[#This Row],[Espécie]],Tabela2[[#All],[Espécie]:[Categoria de risco]],2,FALSE)</f>
        <v>caboclinho-de-barriga-preta</v>
      </c>
      <c r="D381" s="179" t="str">
        <f>VLOOKUP(Tabela134[[#This Row],[Espécie]],Tabela2[[#All],[Espécie]:[Categoria de risco]],3,FALSE)</f>
        <v>Aves</v>
      </c>
      <c r="E381" s="152" t="str">
        <f>VLOOKUP(Tabela134[[#This Row],[Espécie]],Tabela2[[#All],[Espécie]:[Categoria de risco]],4,FALSE)</f>
        <v>Vulnerável</v>
      </c>
      <c r="F381" s="175" t="s">
        <v>2313</v>
      </c>
      <c r="G381" s="174" t="s">
        <v>602</v>
      </c>
      <c r="H381" s="152" t="str">
        <f>VLOOKUP(Tabela134[[#This Row],[UC]],Tabela6[[#All],[UC]:[UF]],2,FALSE)</f>
        <v>SP/PR/MS</v>
      </c>
      <c r="I381" s="230" t="s">
        <v>592</v>
      </c>
      <c r="J381" s="192" t="str">
        <f>IFERROR(VLOOKUP(Tabela134[[#This Row],[Espécie]],Tabela8[[#All],[Espécie]:[Nome fantasia]],4, FALSE), 0)</f>
        <v>Aves da Mata Atlântica - 2º ciclo</v>
      </c>
      <c r="K381" s="165" t="s">
        <v>610</v>
      </c>
      <c r="L381" s="165" t="s">
        <v>610</v>
      </c>
    </row>
    <row r="382" spans="1:12" ht="32.25" customHeight="1">
      <c r="A382" s="175" t="s">
        <v>2320</v>
      </c>
      <c r="B382" s="147" t="s">
        <v>1194</v>
      </c>
      <c r="C382" s="152" t="str">
        <f>VLOOKUP(Tabela134[[#This Row],[Espécie]],Tabela2[[#All],[Espécie]:[Categoria de risco]],2,FALSE)</f>
        <v>caboclinho-de-barriga-preta</v>
      </c>
      <c r="D382" s="179" t="str">
        <f>VLOOKUP(Tabela134[[#This Row],[Espécie]],Tabela2[[#All],[Espécie]:[Categoria de risco]],3,FALSE)</f>
        <v>Aves</v>
      </c>
      <c r="E382" s="152" t="str">
        <f>VLOOKUP(Tabela134[[#This Row],[Espécie]],Tabela2[[#All],[Espécie]:[Categoria de risco]],4,FALSE)</f>
        <v>Vulnerável</v>
      </c>
      <c r="F382" s="175" t="s">
        <v>2313</v>
      </c>
      <c r="G382" s="174" t="s">
        <v>670</v>
      </c>
      <c r="H382" s="152" t="str">
        <f>VLOOKUP(Tabela134[[#This Row],[UC]],Tabela6[[#All],[UC]:[UF]],2,FALSE)</f>
        <v>RS</v>
      </c>
      <c r="I382" s="230" t="s">
        <v>592</v>
      </c>
      <c r="J382" s="192" t="str">
        <f>IFERROR(VLOOKUP(Tabela134[[#This Row],[Espécie]],Tabela8[[#All],[Espécie]:[Nome fantasia]],4, FALSE), 0)</f>
        <v>Aves da Mata Atlântica - 2º ciclo</v>
      </c>
      <c r="K382" s="165" t="s">
        <v>610</v>
      </c>
      <c r="L382" s="165" t="s">
        <v>610</v>
      </c>
    </row>
    <row r="383" spans="1:12" ht="32.25" customHeight="1">
      <c r="A383" s="175" t="s">
        <v>2320</v>
      </c>
      <c r="B383" s="147" t="s">
        <v>1194</v>
      </c>
      <c r="C383" s="152" t="str">
        <f>VLOOKUP(Tabela134[[#This Row],[Espécie]],Tabela2[[#All],[Espécie]:[Categoria de risco]],2,FALSE)</f>
        <v>caboclinho-de-barriga-preta</v>
      </c>
      <c r="D383" s="179" t="str">
        <f>VLOOKUP(Tabela134[[#This Row],[Espécie]],Tabela2[[#All],[Espécie]:[Categoria de risco]],3,FALSE)</f>
        <v>Aves</v>
      </c>
      <c r="E383" s="152" t="str">
        <f>VLOOKUP(Tabela134[[#This Row],[Espécie]],Tabela2[[#All],[Espécie]:[Categoria de risco]],4,FALSE)</f>
        <v>Vulnerável</v>
      </c>
      <c r="F383" s="175" t="s">
        <v>2313</v>
      </c>
      <c r="G383" s="174" t="s">
        <v>700</v>
      </c>
      <c r="H383" s="152" t="str">
        <f>VLOOKUP(Tabela134[[#This Row],[UC]],Tabela6[[#All],[UC]:[UF]],2,FALSE)</f>
        <v>SC/RS</v>
      </c>
      <c r="I383" s="230" t="s">
        <v>592</v>
      </c>
      <c r="J383" s="192" t="str">
        <f>IFERROR(VLOOKUP(Tabela134[[#This Row],[Espécie]],Tabela8[[#All],[Espécie]:[Nome fantasia]],4, FALSE), 0)</f>
        <v>Aves da Mata Atlântica - 2º ciclo</v>
      </c>
      <c r="K383" s="165" t="s">
        <v>610</v>
      </c>
      <c r="L383" s="165" t="s">
        <v>610</v>
      </c>
    </row>
    <row r="384" spans="1:12" ht="32.25" customHeight="1">
      <c r="A384" s="175" t="s">
        <v>2320</v>
      </c>
      <c r="B384" s="147" t="s">
        <v>1194</v>
      </c>
      <c r="C384" s="152" t="str">
        <f>VLOOKUP(Tabela134[[#This Row],[Espécie]],Tabela2[[#All],[Espécie]:[Categoria de risco]],2,FALSE)</f>
        <v>caboclinho-de-barriga-preta</v>
      </c>
      <c r="D384" s="179" t="str">
        <f>VLOOKUP(Tabela134[[#This Row],[Espécie]],Tabela2[[#All],[Espécie]:[Categoria de risco]],3,FALSE)</f>
        <v>Aves</v>
      </c>
      <c r="E384" s="152" t="str">
        <f>VLOOKUP(Tabela134[[#This Row],[Espécie]],Tabela2[[#All],[Espécie]:[Categoria de risco]],4,FALSE)</f>
        <v>Vulnerável</v>
      </c>
      <c r="F384" s="175" t="s">
        <v>2313</v>
      </c>
      <c r="G384" s="174" t="s">
        <v>722</v>
      </c>
      <c r="H384" s="152" t="str">
        <f>VLOOKUP(Tabela134[[#This Row],[UC]],Tabela6[[#All],[UC]:[UF]],2,FALSE)</f>
        <v>PR</v>
      </c>
      <c r="I384" s="230" t="s">
        <v>592</v>
      </c>
      <c r="J384" s="192" t="str">
        <f>IFERROR(VLOOKUP(Tabela134[[#This Row],[Espécie]],Tabela8[[#All],[Espécie]:[Nome fantasia]],4, FALSE), 0)</f>
        <v>Aves da Mata Atlântica - 2º ciclo</v>
      </c>
      <c r="K384" s="165" t="s">
        <v>610</v>
      </c>
      <c r="L384" s="165" t="s">
        <v>610</v>
      </c>
    </row>
    <row r="385" spans="1:25" s="147" customFormat="1" ht="32.25" customHeight="1">
      <c r="A385" s="175" t="s">
        <v>2320</v>
      </c>
      <c r="B385" s="147" t="s">
        <v>1194</v>
      </c>
      <c r="C385" s="152" t="str">
        <f>VLOOKUP(Tabela134[[#This Row],[Espécie]],Tabela2[[#All],[Espécie]:[Categoria de risco]],2,FALSE)</f>
        <v>caboclinho-de-barriga-preta</v>
      </c>
      <c r="D385" s="179" t="str">
        <f>VLOOKUP(Tabela134[[#This Row],[Espécie]],Tabela2[[#All],[Espécie]:[Categoria de risco]],3,FALSE)</f>
        <v>Aves</v>
      </c>
      <c r="E385" s="152" t="str">
        <f>VLOOKUP(Tabela134[[#This Row],[Espécie]],Tabela2[[#All],[Espécie]:[Categoria de risco]],4,FALSE)</f>
        <v>Vulnerável</v>
      </c>
      <c r="F385" s="175" t="s">
        <v>2313</v>
      </c>
      <c r="G385" s="174" t="s">
        <v>711</v>
      </c>
      <c r="H385" s="152" t="str">
        <f>VLOOKUP(Tabela134[[#This Row],[UC]],Tabela6[[#All],[UC]:[UF]],2,FALSE)</f>
        <v>SC</v>
      </c>
      <c r="I385" s="230" t="s">
        <v>592</v>
      </c>
      <c r="J385" s="192" t="str">
        <f>IFERROR(VLOOKUP(Tabela134[[#This Row],[Espécie]],Tabela8[[#All],[Espécie]:[Nome fantasia]],4, FALSE), 0)</f>
        <v>Aves da Mata Atlântica - 2º ciclo</v>
      </c>
      <c r="K385" s="165" t="s">
        <v>610</v>
      </c>
      <c r="L385" s="165" t="s">
        <v>610</v>
      </c>
      <c r="M385" s="152"/>
      <c r="N385" s="170"/>
      <c r="O385" s="152"/>
      <c r="P385" s="152"/>
      <c r="Q385" s="152"/>
      <c r="R385" s="152"/>
      <c r="S385" s="152"/>
      <c r="T385" s="170"/>
      <c r="U385" s="170"/>
      <c r="V385" s="170"/>
      <c r="W385" s="152"/>
      <c r="X385" s="152"/>
      <c r="Y385" s="152"/>
    </row>
    <row r="386" spans="1:25" s="147" customFormat="1" ht="32.25" customHeight="1">
      <c r="A386" s="175" t="s">
        <v>2320</v>
      </c>
      <c r="B386" s="147" t="s">
        <v>1194</v>
      </c>
      <c r="C386" s="152" t="str">
        <f>VLOOKUP(Tabela134[[#This Row],[Espécie]],Tabela2[[#All],[Espécie]:[Categoria de risco]],2,FALSE)</f>
        <v>caboclinho-de-barriga-preta</v>
      </c>
      <c r="D386" s="179" t="str">
        <f>VLOOKUP(Tabela134[[#This Row],[Espécie]],Tabela2[[#All],[Espécie]:[Categoria de risco]],3,FALSE)</f>
        <v>Aves</v>
      </c>
      <c r="E386" s="152" t="str">
        <f>VLOOKUP(Tabela134[[#This Row],[Espécie]],Tabela2[[#All],[Espécie]:[Categoria de risco]],4,FALSE)</f>
        <v>Vulnerável</v>
      </c>
      <c r="F386" s="175" t="s">
        <v>2313</v>
      </c>
      <c r="G386" s="174" t="s">
        <v>692</v>
      </c>
      <c r="H386" s="152" t="str">
        <f>VLOOKUP(Tabela134[[#This Row],[UC]],Tabela6[[#All],[UC]:[UF]],2,FALSE)</f>
        <v>SC/RS</v>
      </c>
      <c r="I386" s="230" t="s">
        <v>592</v>
      </c>
      <c r="J386" s="192" t="str">
        <f>IFERROR(VLOOKUP(Tabela134[[#This Row],[Espécie]],Tabela8[[#All],[Espécie]:[Nome fantasia]],4, FALSE), 0)</f>
        <v>Aves da Mata Atlântica - 2º ciclo</v>
      </c>
      <c r="K386" s="165" t="s">
        <v>610</v>
      </c>
      <c r="L386" s="165" t="s">
        <v>610</v>
      </c>
      <c r="M386" s="152"/>
      <c r="N386" s="170"/>
      <c r="O386" s="152"/>
      <c r="P386" s="152"/>
      <c r="Q386" s="152"/>
      <c r="R386" s="152"/>
      <c r="S386" s="152"/>
      <c r="T386" s="170"/>
      <c r="U386" s="170"/>
      <c r="V386" s="170"/>
      <c r="W386" s="152"/>
      <c r="X386" s="152"/>
      <c r="Y386" s="152"/>
    </row>
    <row r="387" spans="1:25" s="147" customFormat="1" ht="32.25" customHeight="1">
      <c r="A387" s="175" t="s">
        <v>2320</v>
      </c>
      <c r="B387" s="147" t="s">
        <v>1196</v>
      </c>
      <c r="C387" s="152" t="str">
        <f>VLOOKUP(Tabela134[[#This Row],[Espécie]],Tabela2[[#All],[Espécie]:[Categoria de risco]],2,FALSE)</f>
        <v>caboclinho-de-papo-branco</v>
      </c>
      <c r="D387" s="179" t="str">
        <f>VLOOKUP(Tabela134[[#This Row],[Espécie]],Tabela2[[#All],[Espécie]:[Categoria de risco]],3,FALSE)</f>
        <v>Aves</v>
      </c>
      <c r="E387" s="152" t="str">
        <f>VLOOKUP(Tabela134[[#This Row],[Espécie]],Tabela2[[#All],[Espécie]:[Categoria de risco]],4,FALSE)</f>
        <v>Vulnerável</v>
      </c>
      <c r="F387" s="175" t="s">
        <v>2313</v>
      </c>
      <c r="G387" s="174" t="s">
        <v>626</v>
      </c>
      <c r="H387" s="152" t="str">
        <f>VLOOKUP(Tabela134[[#This Row],[UC]],Tabela6[[#All],[UC]:[UF]],2,FALSE)</f>
        <v>RS</v>
      </c>
      <c r="I387" s="230" t="s">
        <v>592</v>
      </c>
      <c r="J387" s="192" t="str">
        <f>IFERROR(VLOOKUP(Tabela134[[#This Row],[Espécie]],Tabela8[[#All],[Espécie]:[Nome fantasia]],4, FALSE), 0)</f>
        <v>Aves do Cerrado e Pantanal - 2º ciclo</v>
      </c>
      <c r="K387" s="165" t="s">
        <v>610</v>
      </c>
      <c r="L387" s="165" t="s">
        <v>610</v>
      </c>
      <c r="M387" s="152"/>
      <c r="N387" s="170"/>
      <c r="O387" s="152"/>
      <c r="P387" s="152"/>
      <c r="Q387" s="152"/>
      <c r="R387" s="152"/>
      <c r="S387" s="152"/>
      <c r="T387" s="170"/>
      <c r="U387" s="170"/>
      <c r="V387" s="170"/>
      <c r="W387" s="152"/>
      <c r="X387" s="152"/>
      <c r="Y387" s="152"/>
    </row>
    <row r="388" spans="1:25" ht="32.25" customHeight="1">
      <c r="A388" s="175" t="s">
        <v>2320</v>
      </c>
      <c r="B388" s="147" t="s">
        <v>1857</v>
      </c>
      <c r="C388" s="152" t="str">
        <f>VLOOKUP(Tabela134[[#This Row],[Espécie]],Tabela2[[#All],[Espécie]:[Categoria de risco]],2,FALSE)</f>
        <v>cação-anjo-de-asa-longa, tubarão-anjo-argentino</v>
      </c>
      <c r="D388" s="179" t="str">
        <f>VLOOKUP(Tabela134[[#This Row],[Espécie]],Tabela2[[#All],[Espécie]:[Categoria de risco]],3,FALSE)</f>
        <v>Tubarões e Raias</v>
      </c>
      <c r="E388" s="152" t="str">
        <f>VLOOKUP(Tabela134[[#This Row],[Espécie]],Tabela2[[#All],[Espécie]:[Categoria de risco]],4,FALSE)</f>
        <v>Criticamente em Perigo</v>
      </c>
      <c r="F388" s="175" t="s">
        <v>2313</v>
      </c>
      <c r="G388" s="174" t="s">
        <v>91</v>
      </c>
      <c r="H388" s="152" t="str">
        <f>VLOOKUP(Tabela134[[#This Row],[UC]],Tabela6[[#All],[UC]:[UF]],2,FALSE)</f>
        <v>SC</v>
      </c>
      <c r="I388" s="230" t="s">
        <v>592</v>
      </c>
      <c r="J388" s="192" t="str">
        <f>IFERROR(VLOOKUP(Tabela134[[#This Row],[Espécie]],Tabela8[[#All],[Espécie]:[Nome fantasia]],4, FALSE), 0)</f>
        <v xml:space="preserve">Tubarões - 2º ciclo </v>
      </c>
      <c r="K388" s="165" t="s">
        <v>610</v>
      </c>
      <c r="L388" s="165" t="s">
        <v>610</v>
      </c>
    </row>
    <row r="389" spans="1:25" ht="32.25" customHeight="1">
      <c r="A389" s="175" t="s">
        <v>2320</v>
      </c>
      <c r="B389" s="147" t="s">
        <v>1857</v>
      </c>
      <c r="C389" s="152" t="str">
        <f>VLOOKUP(Tabela134[[#This Row],[Espécie]],Tabela2[[#All],[Espécie]:[Categoria de risco]],2,FALSE)</f>
        <v>cação-anjo-de-asa-longa, tubarão-anjo-argentino</v>
      </c>
      <c r="D389" s="179" t="str">
        <f>VLOOKUP(Tabela134[[#This Row],[Espécie]],Tabela2[[#All],[Espécie]:[Categoria de risco]],3,FALSE)</f>
        <v>Tubarões e Raias</v>
      </c>
      <c r="E389" s="152" t="str">
        <f>VLOOKUP(Tabela134[[#This Row],[Espécie]],Tabela2[[#All],[Espécie]:[Categoria de risco]],4,FALSE)</f>
        <v>Criticamente em Perigo</v>
      </c>
      <c r="F389" s="175" t="s">
        <v>2313</v>
      </c>
      <c r="G389" s="174" t="s">
        <v>730</v>
      </c>
      <c r="H389" s="152" t="str">
        <f>VLOOKUP(Tabela134[[#This Row],[UC]],Tabela6[[#All],[UC]:[UF]],2,FALSE)</f>
        <v>SC</v>
      </c>
      <c r="I389" s="230" t="s">
        <v>592</v>
      </c>
      <c r="J389" s="192" t="str">
        <f>IFERROR(VLOOKUP(Tabela134[[#This Row],[Espécie]],Tabela8[[#All],[Espécie]:[Nome fantasia]],4, FALSE), 0)</f>
        <v xml:space="preserve">Tubarões - 2º ciclo </v>
      </c>
      <c r="K389" s="165" t="s">
        <v>610</v>
      </c>
      <c r="L389" s="165" t="s">
        <v>610</v>
      </c>
    </row>
    <row r="390" spans="1:25" ht="32.25" customHeight="1">
      <c r="A390" s="152" t="s">
        <v>590</v>
      </c>
      <c r="B390" s="171" t="s">
        <v>761</v>
      </c>
      <c r="C390" s="152" t="str">
        <f>VLOOKUP(Tabela134[[#This Row],[Espécie]],Tabela2[[#All],[Espécie]:[Categoria de risco]],2,FALSE)</f>
        <v>cação-anjo-espinhoso, cação-anjo-espinhudo</v>
      </c>
      <c r="D390" s="152" t="str">
        <f>VLOOKUP(Tabela134[[#This Row],[Espécie]],Tabela2[[#All],[Espécie]:[Categoria de risco]],3,FALSE)</f>
        <v>Tubarões e Raias</v>
      </c>
      <c r="E390" s="152" t="str">
        <f>VLOOKUP(Tabela134[[#This Row],[Espécie]],Tabela2[[#All],[Espécie]:[Categoria de risco]],4,FALSE)</f>
        <v>Criticamente em Perigo</v>
      </c>
      <c r="G390" s="60" t="s">
        <v>730</v>
      </c>
      <c r="H390" s="152" t="str">
        <f>VLOOKUP(Tabela134[[#This Row],[UC]],Tabela6[[#All],[UC]:[UF]],2,FALSE)</f>
        <v>SC</v>
      </c>
      <c r="I390" s="230" t="s">
        <v>592</v>
      </c>
      <c r="J390" s="192" t="str">
        <f>IFERROR(VLOOKUP(Tabela134[[#This Row],[Espécie]],Tabela8[[#All],[Espécie]:[Nome fantasia]],4, FALSE), 0)</f>
        <v xml:space="preserve">Tubarões - 2º ciclo </v>
      </c>
      <c r="K390" s="165" t="s">
        <v>592</v>
      </c>
      <c r="L390" s="165" t="s">
        <v>592</v>
      </c>
    </row>
    <row r="391" spans="1:25" ht="32.25" customHeight="1">
      <c r="A391" s="152" t="s">
        <v>590</v>
      </c>
      <c r="B391" s="171" t="s">
        <v>761</v>
      </c>
      <c r="C391" s="152" t="str">
        <f>VLOOKUP(Tabela134[[#This Row],[Espécie]],Tabela2[[#All],[Espécie]:[Categoria de risco]],2,FALSE)</f>
        <v>cação-anjo-espinhoso, cação-anjo-espinhudo</v>
      </c>
      <c r="D391" s="152" t="str">
        <f>VLOOKUP(Tabela134[[#This Row],[Espécie]],Tabela2[[#All],[Espécie]:[Categoria de risco]],3,FALSE)</f>
        <v>Tubarões e Raias</v>
      </c>
      <c r="E391" s="152" t="str">
        <f>VLOOKUP(Tabela134[[#This Row],[Espécie]],Tabela2[[#All],[Espécie]:[Categoria de risco]],4,FALSE)</f>
        <v>Criticamente em Perigo</v>
      </c>
      <c r="G391" s="60" t="s">
        <v>770</v>
      </c>
      <c r="H391" s="152" t="str">
        <f>VLOOKUP(Tabela134[[#This Row],[UC]],Tabela6[[#All],[UC]:[UF]],2,FALSE)</f>
        <v>RS</v>
      </c>
      <c r="I391" s="230" t="s">
        <v>592</v>
      </c>
      <c r="J391" s="192" t="str">
        <f>IFERROR(VLOOKUP(Tabela134[[#This Row],[Espécie]],Tabela8[[#All],[Espécie]:[Nome fantasia]],4, FALSE), 0)</f>
        <v xml:space="preserve">Tubarões - 2º ciclo </v>
      </c>
      <c r="K391" s="165" t="s">
        <v>592</v>
      </c>
      <c r="L391" s="165" t="s">
        <v>592</v>
      </c>
    </row>
    <row r="392" spans="1:25" ht="32.25" customHeight="1">
      <c r="A392" s="152" t="s">
        <v>590</v>
      </c>
      <c r="B392" s="171" t="s">
        <v>773</v>
      </c>
      <c r="C392" s="152" t="str">
        <f>VLOOKUP(Tabela134[[#This Row],[Espécie]],Tabela2[[#All],[Espécie]:[Categoria de risco]],2,FALSE)</f>
        <v>cação-anjo-de-asa-curta, tubarão-anjo-oculto</v>
      </c>
      <c r="D392" s="152" t="str">
        <f>VLOOKUP(Tabela134[[#This Row],[Espécie]],Tabela2[[#All],[Espécie]:[Categoria de risco]],3,FALSE)</f>
        <v>Tubarões e Raias</v>
      </c>
      <c r="E392" s="152" t="str">
        <f>VLOOKUP(Tabela134[[#This Row],[Espécie]],Tabela2[[#All],[Espécie]:[Categoria de risco]],4,FALSE)</f>
        <v>Criticamente em Perigo</v>
      </c>
      <c r="G392" s="60" t="s">
        <v>770</v>
      </c>
      <c r="H392" s="152" t="str">
        <f>VLOOKUP(Tabela134[[#This Row],[UC]],Tabela6[[#All],[UC]:[UF]],2,FALSE)</f>
        <v>RS</v>
      </c>
      <c r="I392" s="230" t="s">
        <v>592</v>
      </c>
      <c r="J392" s="192" t="str">
        <f>IFERROR(VLOOKUP(Tabela134[[#This Row],[Espécie]],Tabela8[[#All],[Espécie]:[Nome fantasia]],4, FALSE), 0)</f>
        <v xml:space="preserve">Tubarões - 2º ciclo </v>
      </c>
      <c r="K392" s="165" t="s">
        <v>592</v>
      </c>
      <c r="L392" s="165" t="s">
        <v>592</v>
      </c>
    </row>
    <row r="393" spans="1:25" ht="32.25" customHeight="1">
      <c r="A393" s="152" t="s">
        <v>622</v>
      </c>
      <c r="B393" s="169" t="s">
        <v>717</v>
      </c>
      <c r="C393" s="152" t="str">
        <f>VLOOKUP(Tabela134[[#This Row],[Espécie]],Tabela2[[#All],[Espécie]:[Categoria de risco]],2,FALSE)</f>
        <v>Surubim-do-iguaçu</v>
      </c>
      <c r="D393" s="152" t="str">
        <f>VLOOKUP(Tabela134[[#This Row],[Espécie]],Tabela2[[#All],[Espécie]:[Categoria de risco]],3,FALSE)</f>
        <v>Peixes Continentais</v>
      </c>
      <c r="E393" s="152" t="str">
        <f>VLOOKUP(Tabela134[[#This Row],[Espécie]],Tabela2[[#All],[Espécie]:[Categoria de risco]],4,FALSE)</f>
        <v>Em Perigo</v>
      </c>
      <c r="G393" s="60" t="s">
        <v>715</v>
      </c>
      <c r="H393" s="152" t="str">
        <f>VLOOKUP(Tabela134[[#This Row],[UC]],Tabela6[[#All],[UC]:[UF]],2,FALSE)</f>
        <v>PR</v>
      </c>
      <c r="I393" s="230" t="s">
        <v>592</v>
      </c>
      <c r="J393" s="192" t="str">
        <f>IFERROR(VLOOKUP(Tabela134[[#This Row],[Espécie]],Tabela8[[#All],[Espécie]:[Nome fantasia]],4, FALSE), 0)</f>
        <v xml:space="preserve">Iguaçu - 2º ciclo </v>
      </c>
      <c r="K393" s="165" t="s">
        <v>592</v>
      </c>
      <c r="L393" s="165" t="s">
        <v>592</v>
      </c>
    </row>
    <row r="394" spans="1:25" ht="32.25" customHeight="1">
      <c r="A394" s="152" t="s">
        <v>590</v>
      </c>
      <c r="B394" s="171" t="s">
        <v>707</v>
      </c>
      <c r="C394" s="152" t="str">
        <f>VLOOKUP(Tabela134[[#This Row],[Espécie]],Tabela2[[#All],[Espécie]:[Categoria de risco]],2,FALSE)</f>
        <v>Surubim</v>
      </c>
      <c r="D394" s="152" t="str">
        <f>VLOOKUP(Tabela134[[#This Row],[Espécie]],Tabela2[[#All],[Espécie]:[Categoria de risco]],3,FALSE)</f>
        <v>Peixes Continentais</v>
      </c>
      <c r="E394" s="152" t="str">
        <f>VLOOKUP(Tabela134[[#This Row],[Espécie]],Tabela2[[#All],[Espécie]:[Categoria de risco]],4,FALSE)</f>
        <v>Em perigo</v>
      </c>
      <c r="F394" s="172" t="s">
        <v>708</v>
      </c>
      <c r="G394" s="60" t="s">
        <v>703</v>
      </c>
      <c r="H394" s="152" t="str">
        <f>VLOOKUP(Tabela134[[#This Row],[UC]],Tabela6[[#All],[UC]:[UF]],2,FALSE)</f>
        <v>MS/PR</v>
      </c>
      <c r="I394" s="230" t="s">
        <v>592</v>
      </c>
      <c r="J394" s="192" t="str">
        <f>IFERROR(VLOOKUP(Tabela134[[#This Row],[Espécie]],Tabela8[[#All],[Espécie]:[Nome fantasia]],4, FALSE), 0)</f>
        <v>Alto Paraná - 1º ciclo</v>
      </c>
      <c r="K394" s="165" t="s">
        <v>592</v>
      </c>
      <c r="L394" s="165" t="s">
        <v>592</v>
      </c>
    </row>
    <row r="395" spans="1:25" ht="32.25" customHeight="1">
      <c r="A395" s="175" t="s">
        <v>2320</v>
      </c>
      <c r="B395" s="147" t="s">
        <v>1677</v>
      </c>
      <c r="C395" s="152" t="str">
        <f>VLOOKUP(Tabela134[[#This Row],[Espécie]],Tabela2[[#All],[Espécie]:[Categoria de risco]],2,FALSE)</f>
        <v>Iguaninha-azul, Lagarto-das-pedras, Lagratixa-azul</v>
      </c>
      <c r="D395" s="179" t="str">
        <f>VLOOKUP(Tabela134[[#This Row],[Espécie]],Tabela2[[#All],[Espécie]:[Categoria de risco]],3,FALSE)</f>
        <v>Répteis</v>
      </c>
      <c r="E395" s="152" t="str">
        <f>VLOOKUP(Tabela134[[#This Row],[Espécie]],Tabela2[[#All],[Espécie]:[Categoria de risco]],4,FALSE)</f>
        <v>Em Perigo</v>
      </c>
      <c r="F395" s="175" t="s">
        <v>2313</v>
      </c>
      <c r="G395" s="174" t="s">
        <v>626</v>
      </c>
      <c r="H395" s="152" t="str">
        <f>VLOOKUP(Tabela134[[#This Row],[UC]],Tabela6[[#All],[UC]:[UF]],2,FALSE)</f>
        <v>RS</v>
      </c>
      <c r="I395" s="230" t="s">
        <v>592</v>
      </c>
      <c r="J395" s="192" t="str">
        <f>IFERROR(VLOOKUP(Tabela134[[#This Row],[Espécie]],Tabela8[[#All],[Espécie]:[Nome fantasia]],4, FALSE), 0)</f>
        <v>Herpetofauna do Sul - 2º ciclo</v>
      </c>
      <c r="K395" s="165" t="s">
        <v>610</v>
      </c>
      <c r="L395" s="165" t="s">
        <v>610</v>
      </c>
    </row>
    <row r="396" spans="1:25" ht="32.25" customHeight="1">
      <c r="A396" s="152" t="s">
        <v>590</v>
      </c>
      <c r="B396" s="178" t="s">
        <v>791</v>
      </c>
      <c r="C396" s="152" t="str">
        <f>VLOOKUP(Tabela134[[#This Row],[Espécie]],Tabela2[[#All],[Espécie]:[Categoria de risco]],2,FALSE)</f>
        <v>mandrião-antártico</v>
      </c>
      <c r="D396" s="152" t="str">
        <f>VLOOKUP(Tabela134[[#This Row],[Espécie]],Tabela2[[#All],[Espécie]:[Categoria de risco]],3,FALSE)</f>
        <v>Aves</v>
      </c>
      <c r="E396" s="152" t="str">
        <f>VLOOKUP(Tabela134[[#This Row],[Espécie]],Tabela2[[#All],[Espécie]:[Categoria de risco]],4,FALSE)</f>
        <v>Menos preocupante</v>
      </c>
      <c r="G396" s="60" t="s">
        <v>770</v>
      </c>
      <c r="H396" s="152" t="str">
        <f>VLOOKUP(Tabela134[[#This Row],[UC]],Tabela6[[#All],[UC]:[UF]],2,FALSE)</f>
        <v>RS</v>
      </c>
      <c r="I396" s="230" t="s">
        <v>610</v>
      </c>
      <c r="J396" s="192">
        <f>IFERROR(VLOOKUP(Tabela134[[#This Row],[Espécie]],Tabela8[[#All],[Espécie]:[Nome fantasia]],4, FALSE), 0)</f>
        <v>0</v>
      </c>
      <c r="K396" s="165" t="s">
        <v>592</v>
      </c>
      <c r="L396" s="165" t="s">
        <v>592</v>
      </c>
    </row>
    <row r="397" spans="1:25" ht="32.25" customHeight="1">
      <c r="A397" s="152" t="s">
        <v>590</v>
      </c>
      <c r="B397" s="178" t="s">
        <v>792</v>
      </c>
      <c r="C397" s="152" t="str">
        <f>VLOOKUP(Tabela134[[#This Row],[Espécie]],Tabela2[[#All],[Espécie]:[Categoria de risco]],2,FALSE)</f>
        <v>mandrião-chileno</v>
      </c>
      <c r="D397" s="152" t="str">
        <f>VLOOKUP(Tabela134[[#This Row],[Espécie]],Tabela2[[#All],[Espécie]:[Categoria de risco]],3,FALSE)</f>
        <v>Aves</v>
      </c>
      <c r="E397" s="152" t="str">
        <f>VLOOKUP(Tabela134[[#This Row],[Espécie]],Tabela2[[#All],[Espécie]:[Categoria de risco]],4,FALSE)</f>
        <v>Menos preocupante</v>
      </c>
      <c r="G397" s="60" t="s">
        <v>770</v>
      </c>
      <c r="H397" s="152" t="str">
        <f>VLOOKUP(Tabela134[[#This Row],[UC]],Tabela6[[#All],[UC]:[UF]],2,FALSE)</f>
        <v>RS</v>
      </c>
      <c r="I397" s="230" t="s">
        <v>610</v>
      </c>
      <c r="J397" s="192">
        <f>IFERROR(VLOOKUP(Tabela134[[#This Row],[Espécie]],Tabela8[[#All],[Espécie]:[Nome fantasia]],4, FALSE), 0)</f>
        <v>0</v>
      </c>
      <c r="K397" s="165" t="s">
        <v>592</v>
      </c>
      <c r="L397" s="165" t="s">
        <v>592</v>
      </c>
    </row>
    <row r="398" spans="1:25" ht="32.25" customHeight="1">
      <c r="A398" s="152" t="s">
        <v>590</v>
      </c>
      <c r="B398" s="178" t="s">
        <v>793</v>
      </c>
      <c r="C398" s="152" t="str">
        <f>VLOOKUP(Tabela134[[#This Row],[Espécie]],Tabela2[[#All],[Espécie]:[Categoria de risco]],2,FALSE)</f>
        <v>mandrião-parasítico</v>
      </c>
      <c r="D398" s="152" t="str">
        <f>VLOOKUP(Tabela134[[#This Row],[Espécie]],Tabela2[[#All],[Espécie]:[Categoria de risco]],3,FALSE)</f>
        <v>Aves</v>
      </c>
      <c r="E398" s="152" t="str">
        <f>VLOOKUP(Tabela134[[#This Row],[Espécie]],Tabela2[[#All],[Espécie]:[Categoria de risco]],4,FALSE)</f>
        <v>Menos preocupante</v>
      </c>
      <c r="G398" s="60" t="s">
        <v>770</v>
      </c>
      <c r="H398" s="152" t="str">
        <f>VLOOKUP(Tabela134[[#This Row],[UC]],Tabela6[[#All],[UC]:[UF]],2,FALSE)</f>
        <v>RS</v>
      </c>
      <c r="I398" s="230" t="s">
        <v>610</v>
      </c>
      <c r="J398" s="192">
        <f>IFERROR(VLOOKUP(Tabela134[[#This Row],[Espécie]],Tabela8[[#All],[Espécie]:[Nome fantasia]],4, FALSE), 0)</f>
        <v>0</v>
      </c>
      <c r="K398" s="165" t="s">
        <v>592</v>
      </c>
      <c r="L398" s="165" t="s">
        <v>592</v>
      </c>
    </row>
    <row r="399" spans="1:25" ht="32.25" customHeight="1">
      <c r="A399" s="152" t="s">
        <v>590</v>
      </c>
      <c r="B399" s="171" t="s">
        <v>646</v>
      </c>
      <c r="C399" s="152" t="str">
        <f>VLOOKUP(Tabela134[[#This Row],[Espécie]],Tabela2[[#All],[Espécie]:[Categoria de risco]],2,FALSE)</f>
        <v>trinta-réis-de-bico-vermelho</v>
      </c>
      <c r="D399" s="152" t="str">
        <f>VLOOKUP(Tabela134[[#This Row],[Espécie]],Tabela2[[#All],[Espécie]:[Categoria de risco]],3,FALSE)</f>
        <v>Aves</v>
      </c>
      <c r="E399" s="152" t="str">
        <f>VLOOKUP(Tabela134[[#This Row],[Espécie]],Tabela2[[#All],[Espécie]:[Categoria de risco]],4,FALSE)</f>
        <v>Vulnerável</v>
      </c>
      <c r="G399" s="60" t="s">
        <v>643</v>
      </c>
      <c r="H399" s="152" t="str">
        <f>VLOOKUP(Tabela134[[#This Row],[UC]],Tabela6[[#All],[UC]:[UF]],2,FALSE)</f>
        <v>SC</v>
      </c>
      <c r="I399" s="230" t="s">
        <v>592</v>
      </c>
      <c r="J399" s="192" t="str">
        <f>IFERROR(VLOOKUP(Tabela134[[#This Row],[Espécie]],Tabela8[[#All],[Espécie]:[Nome fantasia]],4, FALSE), 0)</f>
        <v>Aves Marinhas - 2º ciclo</v>
      </c>
      <c r="K399" s="165" t="s">
        <v>592</v>
      </c>
      <c r="L399" s="165" t="s">
        <v>592</v>
      </c>
    </row>
    <row r="400" spans="1:25" ht="32.25" customHeight="1">
      <c r="A400" s="152" t="s">
        <v>590</v>
      </c>
      <c r="B400" s="171" t="s">
        <v>646</v>
      </c>
      <c r="C400" s="152" t="str">
        <f>VLOOKUP(Tabela134[[#This Row],[Espécie]],Tabela2[[#All],[Espécie]:[Categoria de risco]],2,FALSE)</f>
        <v>trinta-réis-de-bico-vermelho</v>
      </c>
      <c r="D400" s="152" t="str">
        <f>VLOOKUP(Tabela134[[#This Row],[Espécie]],Tabela2[[#All],[Espécie]:[Categoria de risco]],3,FALSE)</f>
        <v>Aves</v>
      </c>
      <c r="E400" s="152" t="str">
        <f>VLOOKUP(Tabela134[[#This Row],[Espécie]],Tabela2[[#All],[Espécie]:[Categoria de risco]],4,FALSE)</f>
        <v>Vulnerável</v>
      </c>
      <c r="G400" s="60" t="s">
        <v>680</v>
      </c>
      <c r="H400" s="152" t="str">
        <f>VLOOKUP(Tabela134[[#This Row],[UC]],Tabela6[[#All],[UC]:[UF]],2,FALSE)</f>
        <v>RS</v>
      </c>
      <c r="I400" s="230" t="s">
        <v>592</v>
      </c>
      <c r="J400" s="192" t="str">
        <f>IFERROR(VLOOKUP(Tabela134[[#This Row],[Espécie]],Tabela8[[#All],[Espécie]:[Nome fantasia]],4, FALSE), 0)</f>
        <v>Aves Marinhas - 2º ciclo</v>
      </c>
      <c r="K400" s="165" t="s">
        <v>610</v>
      </c>
      <c r="L400" s="165" t="s">
        <v>592</v>
      </c>
    </row>
    <row r="401" spans="1:12" ht="32.25" customHeight="1">
      <c r="A401" s="152" t="s">
        <v>590</v>
      </c>
      <c r="B401" s="171" t="s">
        <v>646</v>
      </c>
      <c r="C401" s="152" t="str">
        <f>VLOOKUP(Tabela134[[#This Row],[Espécie]],Tabela2[[#All],[Espécie]:[Categoria de risco]],2,FALSE)</f>
        <v>trinta-réis-de-bico-vermelho</v>
      </c>
      <c r="D401" s="152" t="str">
        <f>VLOOKUP(Tabela134[[#This Row],[Espécie]],Tabela2[[#All],[Espécie]:[Categoria de risco]],3,FALSE)</f>
        <v>Aves</v>
      </c>
      <c r="E401" s="152" t="str">
        <f>VLOOKUP(Tabela134[[#This Row],[Espécie]],Tabela2[[#All],[Espécie]:[Categoria de risco]],4,FALSE)</f>
        <v>Vulnerável</v>
      </c>
      <c r="G401" s="60" t="s">
        <v>730</v>
      </c>
      <c r="H401" s="152" t="str">
        <f>VLOOKUP(Tabela134[[#This Row],[UC]],Tabela6[[#All],[UC]:[UF]],2,FALSE)</f>
        <v>SC</v>
      </c>
      <c r="I401" s="230" t="s">
        <v>592</v>
      </c>
      <c r="J401" s="192" t="str">
        <f>IFERROR(VLOOKUP(Tabela134[[#This Row],[Espécie]],Tabela8[[#All],[Espécie]:[Nome fantasia]],4, FALSE), 0)</f>
        <v>Aves Marinhas - 2º ciclo</v>
      </c>
      <c r="K401" s="165" t="s">
        <v>592</v>
      </c>
      <c r="L401" s="165" t="s">
        <v>592</v>
      </c>
    </row>
    <row r="402" spans="1:12" ht="32.25" customHeight="1">
      <c r="A402" s="152" t="s">
        <v>590</v>
      </c>
      <c r="B402" s="171" t="s">
        <v>646</v>
      </c>
      <c r="C402" s="152" t="str">
        <f>VLOOKUP(Tabela134[[#This Row],[Espécie]],Tabela2[[#All],[Espécie]:[Categoria de risco]],2,FALSE)</f>
        <v>trinta-réis-de-bico-vermelho</v>
      </c>
      <c r="D402" s="152" t="str">
        <f>VLOOKUP(Tabela134[[#This Row],[Espécie]],Tabela2[[#All],[Espécie]:[Categoria de risco]],3,FALSE)</f>
        <v>Aves</v>
      </c>
      <c r="E402" s="152" t="str">
        <f>VLOOKUP(Tabela134[[#This Row],[Espécie]],Tabela2[[#All],[Espécie]:[Categoria de risco]],4,FALSE)</f>
        <v>Vulnerável</v>
      </c>
      <c r="G402" s="60" t="s">
        <v>770</v>
      </c>
      <c r="H402" s="152" t="str">
        <f>VLOOKUP(Tabela134[[#This Row],[UC]],Tabela6[[#All],[UC]:[UF]],2,FALSE)</f>
        <v>RS</v>
      </c>
      <c r="I402" s="230" t="s">
        <v>592</v>
      </c>
      <c r="J402" s="192" t="str">
        <f>IFERROR(VLOOKUP(Tabela134[[#This Row],[Espécie]],Tabela8[[#All],[Espécie]:[Nome fantasia]],4, FALSE), 0)</f>
        <v>Aves Marinhas - 2º ciclo</v>
      </c>
      <c r="K402" s="165" t="s">
        <v>592</v>
      </c>
      <c r="L402" s="165" t="s">
        <v>592</v>
      </c>
    </row>
    <row r="403" spans="1:12" ht="32.25" customHeight="1">
      <c r="A403" s="152" t="s">
        <v>590</v>
      </c>
      <c r="B403" s="173" t="s">
        <v>799</v>
      </c>
      <c r="C403" s="152" t="str">
        <f>VLOOKUP(Tabela134[[#This Row],[Espécie]],Tabela2[[#All],[Espécie]:[Categoria de risco]],2,FALSE)</f>
        <v>trinta-réis-boreal</v>
      </c>
      <c r="D403" s="152" t="str">
        <f>VLOOKUP(Tabela134[[#This Row],[Espécie]],Tabela2[[#All],[Espécie]:[Categoria de risco]],3,FALSE)</f>
        <v>Aves</v>
      </c>
      <c r="E403" s="152" t="str">
        <f>VLOOKUP(Tabela134[[#This Row],[Espécie]],Tabela2[[#All],[Espécie]:[Categoria de risco]],4,FALSE)</f>
        <v>Menos preocupante</v>
      </c>
      <c r="G403" s="60" t="s">
        <v>770</v>
      </c>
      <c r="H403" s="152" t="str">
        <f>VLOOKUP(Tabela134[[#This Row],[UC]],Tabela6[[#All],[UC]:[UF]],2,FALSE)</f>
        <v>RS</v>
      </c>
      <c r="I403" s="230" t="s">
        <v>610</v>
      </c>
      <c r="J403" s="192">
        <f>IFERROR(VLOOKUP(Tabela134[[#This Row],[Espécie]],Tabela8[[#All],[Espécie]:[Nome fantasia]],4, FALSE), 0)</f>
        <v>0</v>
      </c>
      <c r="K403" s="165" t="s">
        <v>592</v>
      </c>
      <c r="L403" s="165" t="s">
        <v>592</v>
      </c>
    </row>
    <row r="404" spans="1:12" ht="32.25" customHeight="1">
      <c r="A404" s="152" t="s">
        <v>590</v>
      </c>
      <c r="B404" s="173" t="s">
        <v>800</v>
      </c>
      <c r="C404" s="152" t="str">
        <f>VLOOKUP(Tabela134[[#This Row],[Espécie]],Tabela2[[#All],[Espécie]:[Categoria de risco]],2,FALSE)</f>
        <v>trinta-réis-de-coroa-branca</v>
      </c>
      <c r="D404" s="152" t="str">
        <f>VLOOKUP(Tabela134[[#This Row],[Espécie]],Tabela2[[#All],[Espécie]:[Categoria de risco]],3,FALSE)</f>
        <v>Aves</v>
      </c>
      <c r="E404" s="152" t="str">
        <f>VLOOKUP(Tabela134[[#This Row],[Espécie]],Tabela2[[#All],[Espécie]:[Categoria de risco]],4,FALSE)</f>
        <v>Menos preocupante</v>
      </c>
      <c r="G404" s="60" t="s">
        <v>770</v>
      </c>
      <c r="H404" s="152" t="str">
        <f>VLOOKUP(Tabela134[[#This Row],[UC]],Tabela6[[#All],[UC]:[UF]],2,FALSE)</f>
        <v>RS</v>
      </c>
      <c r="I404" s="230" t="s">
        <v>610</v>
      </c>
      <c r="J404" s="192">
        <f>IFERROR(VLOOKUP(Tabela134[[#This Row],[Espécie]],Tabela8[[#All],[Espécie]:[Nome fantasia]],4, FALSE), 0)</f>
        <v>0</v>
      </c>
      <c r="K404" s="165" t="s">
        <v>592</v>
      </c>
      <c r="L404" s="165" t="s">
        <v>592</v>
      </c>
    </row>
    <row r="405" spans="1:12" ht="32.25" customHeight="1">
      <c r="A405" s="152" t="s">
        <v>590</v>
      </c>
      <c r="B405" s="171" t="s">
        <v>706</v>
      </c>
      <c r="C405" s="152" t="str">
        <f>VLOOKUP(Tabela134[[#This Row],[Espécie]],Tabela2[[#All],[Espécie]:[Categoria de risco]],2,FALSE)</f>
        <v>Ituí</v>
      </c>
      <c r="D405" s="152" t="str">
        <f>VLOOKUP(Tabela134[[#This Row],[Espécie]],Tabela2[[#All],[Espécie]:[Categoria de risco]],3,FALSE)</f>
        <v>Peixes Continentais</v>
      </c>
      <c r="E405" s="152" t="str">
        <f>VLOOKUP(Tabela134[[#This Row],[Espécie]],Tabela2[[#All],[Espécie]:[Categoria de risco]],4,FALSE)</f>
        <v>Em perigo</v>
      </c>
      <c r="F405" s="152" t="s">
        <v>2253</v>
      </c>
      <c r="G405" s="60" t="s">
        <v>703</v>
      </c>
      <c r="H405" s="152" t="str">
        <f>VLOOKUP(Tabela134[[#This Row],[UC]],Tabela6[[#All],[UC]:[UF]],2,FALSE)</f>
        <v>MS/PR</v>
      </c>
      <c r="I405" s="230" t="s">
        <v>592</v>
      </c>
      <c r="J405" s="192" t="str">
        <f>IFERROR(VLOOKUP(Tabela134[[#This Row],[Espécie]],Tabela8[[#All],[Espécie]:[Nome fantasia]],4, FALSE), 0)</f>
        <v>Peixes e Eglas da Mata Atlântica</v>
      </c>
      <c r="K405" s="165" t="s">
        <v>592</v>
      </c>
      <c r="L405" s="165" t="s">
        <v>592</v>
      </c>
    </row>
    <row r="406" spans="1:12" ht="32.25" customHeight="1">
      <c r="A406" s="152" t="s">
        <v>590</v>
      </c>
      <c r="B406" s="173" t="s">
        <v>798</v>
      </c>
      <c r="C406" s="152" t="str">
        <f>VLOOKUP(Tabela134[[#This Row],[Espécie]],Tabela2[[#All],[Espécie]:[Categoria de risco]],2,FALSE)</f>
        <v>trinta-réis-anão, trinta-réis-pequeno</v>
      </c>
      <c r="D406" s="152" t="str">
        <f>VLOOKUP(Tabela134[[#This Row],[Espécie]],Tabela2[[#All],[Espécie]:[Categoria de risco]],3,FALSE)</f>
        <v>Aves</v>
      </c>
      <c r="E406" s="152" t="str">
        <f>VLOOKUP(Tabela134[[#This Row],[Espécie]],Tabela2[[#All],[Espécie]:[Categoria de risco]],4,FALSE)</f>
        <v>Menos preocupante</v>
      </c>
      <c r="G406" s="60" t="s">
        <v>770</v>
      </c>
      <c r="H406" s="152" t="str">
        <f>VLOOKUP(Tabela134[[#This Row],[UC]],Tabela6[[#All],[UC]:[UF]],2,FALSE)</f>
        <v>RS</v>
      </c>
      <c r="I406" s="230" t="s">
        <v>610</v>
      </c>
      <c r="J406" s="192">
        <f>IFERROR(VLOOKUP(Tabela134[[#This Row],[Espécie]],Tabela8[[#All],[Espécie]:[Nome fantasia]],4, FALSE), 0)</f>
        <v>0</v>
      </c>
      <c r="K406" s="165" t="s">
        <v>592</v>
      </c>
      <c r="L406" s="165" t="s">
        <v>592</v>
      </c>
    </row>
    <row r="407" spans="1:12" ht="32.25" customHeight="1">
      <c r="A407" s="152" t="s">
        <v>590</v>
      </c>
      <c r="B407" s="173" t="s">
        <v>849</v>
      </c>
      <c r="C407" s="152" t="str">
        <f>VLOOKUP(Tabela134[[#This Row],[Espécie]],Tabela2[[#All],[Espécie]:[Categoria de risco]],2,FALSE)</f>
        <v>Pampo</v>
      </c>
      <c r="D407" s="152" t="str">
        <f>VLOOKUP(Tabela134[[#This Row],[Espécie]],Tabela2[[#All],[Espécie]:[Categoria de risco]],3,FALSE)</f>
        <v>Peixes Marinhos (ósseos)</v>
      </c>
      <c r="E407" s="152" t="str">
        <f>VLOOKUP(Tabela134[[#This Row],[Espécie]],Tabela2[[#All],[Espécie]:[Categoria de risco]],4,FALSE)</f>
        <v>Menos preocupante</v>
      </c>
      <c r="G407" s="60" t="s">
        <v>770</v>
      </c>
      <c r="H407" s="152" t="str">
        <f>VLOOKUP(Tabela134[[#This Row],[UC]],Tabela6[[#All],[UC]:[UF]],2,FALSE)</f>
        <v>RS</v>
      </c>
      <c r="I407" s="230" t="s">
        <v>610</v>
      </c>
      <c r="J407" s="192">
        <f>IFERROR(VLOOKUP(Tabela134[[#This Row],[Espécie]],Tabela8[[#All],[Espécie]:[Nome fantasia]],4, FALSE), 0)</f>
        <v>0</v>
      </c>
      <c r="K407" s="165" t="s">
        <v>592</v>
      </c>
      <c r="L407" s="165" t="s">
        <v>592</v>
      </c>
    </row>
    <row r="408" spans="1:12" ht="32.25" customHeight="1">
      <c r="A408" s="152" t="s">
        <v>590</v>
      </c>
      <c r="B408" s="171" t="s">
        <v>710</v>
      </c>
      <c r="C408" s="152" t="str">
        <f>VLOOKUP(Tabela134[[#This Row],[Espécie]],Tabela2[[#All],[Espécie]:[Categoria de risco]],2,FALSE)</f>
        <v>bicudinho-do-brejo</v>
      </c>
      <c r="D408" s="152" t="str">
        <f>VLOOKUP(Tabela134[[#This Row],[Espécie]],Tabela2[[#All],[Espécie]:[Categoria de risco]],3,FALSE)</f>
        <v>Aves</v>
      </c>
      <c r="E408" s="152" t="str">
        <f>VLOOKUP(Tabela134[[#This Row],[Espécie]],Tabela2[[#All],[Espécie]:[Categoria de risco]],4,FALSE)</f>
        <v>Vulnerável</v>
      </c>
      <c r="G408" s="60" t="s">
        <v>709</v>
      </c>
      <c r="H408" s="152" t="str">
        <f>VLOOKUP(Tabela134[[#This Row],[UC]],Tabela6[[#All],[UC]:[UF]],2,FALSE)</f>
        <v>PR</v>
      </c>
      <c r="I408" s="230" t="s">
        <v>610</v>
      </c>
      <c r="J408" s="192">
        <f>IFERROR(VLOOKUP(Tabela134[[#This Row],[Espécie]],Tabela8[[#All],[Espécie]:[Nome fantasia]],4, FALSE), 0)</f>
        <v>0</v>
      </c>
      <c r="K408" s="165" t="s">
        <v>610</v>
      </c>
      <c r="L408" s="165" t="s">
        <v>592</v>
      </c>
    </row>
    <row r="409" spans="1:12" ht="32.25" customHeight="1">
      <c r="A409" s="152" t="s">
        <v>590</v>
      </c>
      <c r="B409" s="173" t="s">
        <v>807</v>
      </c>
      <c r="C409" s="152" t="str">
        <f>VLOOKUP(Tabela134[[#This Row],[Espécie]],Tabela2[[#All],[Espécie]:[Categoria de risco]],2,FALSE)</f>
        <v>atobá-pardo</v>
      </c>
      <c r="D409" s="152" t="str">
        <f>VLOOKUP(Tabela134[[#This Row],[Espécie]],Tabela2[[#All],[Espécie]:[Categoria de risco]],3,FALSE)</f>
        <v>Aves</v>
      </c>
      <c r="E409" s="152" t="str">
        <f>VLOOKUP(Tabela134[[#This Row],[Espécie]],Tabela2[[#All],[Espécie]:[Categoria de risco]],4,FALSE)</f>
        <v>Menos preocupante</v>
      </c>
      <c r="G409" s="60" t="s">
        <v>770</v>
      </c>
      <c r="H409" s="152" t="str">
        <f>VLOOKUP(Tabela134[[#This Row],[UC]],Tabela6[[#All],[UC]:[UF]],2,FALSE)</f>
        <v>RS</v>
      </c>
      <c r="I409" s="230" t="s">
        <v>610</v>
      </c>
      <c r="J409" s="192">
        <f>IFERROR(VLOOKUP(Tabela134[[#This Row],[Espécie]],Tabela8[[#All],[Espécie]:[Nome fantasia]],4, FALSE), 0)</f>
        <v>0</v>
      </c>
      <c r="K409" s="165" t="s">
        <v>592</v>
      </c>
      <c r="L409" s="165" t="s">
        <v>592</v>
      </c>
    </row>
    <row r="410" spans="1:12" ht="32.25" customHeight="1">
      <c r="A410" s="152" t="s">
        <v>590</v>
      </c>
      <c r="B410" s="171" t="s">
        <v>757</v>
      </c>
      <c r="C410" s="152" t="str">
        <f>VLOOKUP(Tabela134[[#This Row],[Espécie]],Tabela2[[#All],[Espécie]:[Categoria de risco]],2,FALSE)</f>
        <v>emplastro-bicudo, raia-emplastro</v>
      </c>
      <c r="D410" s="152" t="str">
        <f>VLOOKUP(Tabela134[[#This Row],[Espécie]],Tabela2[[#All],[Espécie]:[Categoria de risco]],3,FALSE)</f>
        <v>Tubarões e Raias</v>
      </c>
      <c r="E410" s="152" t="str">
        <f>VLOOKUP(Tabela134[[#This Row],[Espécie]],Tabela2[[#All],[Espécie]:[Categoria de risco]],4,FALSE)</f>
        <v>Em Perigo</v>
      </c>
      <c r="G410" s="60" t="s">
        <v>730</v>
      </c>
      <c r="H410" s="152" t="str">
        <f>VLOOKUP(Tabela134[[#This Row],[UC]],Tabela6[[#All],[UC]:[UF]],2,FALSE)</f>
        <v>SC</v>
      </c>
      <c r="I410" s="230" t="s">
        <v>592</v>
      </c>
      <c r="J410" s="192" t="str">
        <f>IFERROR(VLOOKUP(Tabela134[[#This Row],[Espécie]],Tabela8[[#All],[Espécie]:[Nome fantasia]],4, FALSE), 0)</f>
        <v xml:space="preserve">Tubarões - 2º ciclo </v>
      </c>
      <c r="K410" s="165" t="s">
        <v>592</v>
      </c>
      <c r="L410" s="165" t="s">
        <v>592</v>
      </c>
    </row>
    <row r="411" spans="1:12" ht="32.25" customHeight="1">
      <c r="A411" s="152" t="s">
        <v>590</v>
      </c>
      <c r="B411" s="171" t="s">
        <v>758</v>
      </c>
      <c r="C411" s="152" t="str">
        <f>VLOOKUP(Tabela134[[#This Row],[Espécie]],Tabela2[[#All],[Espécie]:[Categoria de risco]],2,FALSE)</f>
        <v>emplastro-amarelo, raia-emplastro</v>
      </c>
      <c r="D411" s="152" t="str">
        <f>VLOOKUP(Tabela134[[#This Row],[Espécie]],Tabela2[[#All],[Espécie]:[Categoria de risco]],3,FALSE)</f>
        <v>Tubarões e Raias</v>
      </c>
      <c r="E411" s="152" t="str">
        <f>VLOOKUP(Tabela134[[#This Row],[Espécie]],Tabela2[[#All],[Espécie]:[Categoria de risco]],4,FALSE)</f>
        <v>Em Perigo</v>
      </c>
      <c r="G411" s="60" t="s">
        <v>730</v>
      </c>
      <c r="H411" s="152" t="str">
        <f>VLOOKUP(Tabela134[[#This Row],[UC]],Tabela6[[#All],[UC]:[UF]],2,FALSE)</f>
        <v>SC</v>
      </c>
      <c r="I411" s="230" t="s">
        <v>592</v>
      </c>
      <c r="J411" s="192" t="str">
        <f>IFERROR(VLOOKUP(Tabela134[[#This Row],[Espécie]],Tabela8[[#All],[Espécie]:[Nome fantasia]],4, FALSE), 0)</f>
        <v xml:space="preserve">Tubarões - 2º ciclo </v>
      </c>
      <c r="K411" s="165" t="s">
        <v>592</v>
      </c>
      <c r="L411" s="165" t="s">
        <v>592</v>
      </c>
    </row>
    <row r="412" spans="1:12" ht="32.25" customHeight="1">
      <c r="A412" s="152" t="s">
        <v>590</v>
      </c>
      <c r="B412" s="171" t="s">
        <v>607</v>
      </c>
      <c r="C412" s="152" t="str">
        <f>VLOOKUP(Tabela134[[#This Row],[Espécie]],Tabela2[[#All],[Espécie]:[Categoria de risco]],2,FALSE)</f>
        <v>Anta</v>
      </c>
      <c r="D412" s="152" t="str">
        <f>VLOOKUP(Tabela134[[#This Row],[Espécie]],Tabela2[[#All],[Espécie]:[Categoria de risco]],3,FALSE)</f>
        <v>Mamíferos</v>
      </c>
      <c r="E412" s="152" t="str">
        <f>VLOOKUP(Tabela134[[#This Row],[Espécie]],Tabela2[[#All],[Espécie]:[Categoria de risco]],4,FALSE)</f>
        <v>Vulnerável</v>
      </c>
      <c r="G412" s="60" t="s">
        <v>602</v>
      </c>
      <c r="H412" s="152" t="str">
        <f>VLOOKUP(Tabela134[[#This Row],[UC]],Tabela6[[#All],[UC]:[UF]],2,FALSE)</f>
        <v>SP/PR/MS</v>
      </c>
      <c r="I412" s="230" t="s">
        <v>592</v>
      </c>
      <c r="J412" s="192" t="str">
        <f>IFERROR(VLOOKUP(Tabela134[[#This Row],[Espécie]],Tabela8[[#All],[Espécie]:[Nome fantasia]],4, FALSE), 0)</f>
        <v>Ungulados</v>
      </c>
      <c r="K412" s="165" t="s">
        <v>592</v>
      </c>
      <c r="L412" s="165" t="s">
        <v>592</v>
      </c>
    </row>
    <row r="413" spans="1:12" ht="32.25" customHeight="1">
      <c r="A413" s="152" t="s">
        <v>590</v>
      </c>
      <c r="B413" s="171" t="s">
        <v>607</v>
      </c>
      <c r="C413" s="152" t="str">
        <f>VLOOKUP(Tabela134[[#This Row],[Espécie]],Tabela2[[#All],[Espécie]:[Categoria de risco]],2,FALSE)</f>
        <v>Anta</v>
      </c>
      <c r="D413" s="152" t="str">
        <f>VLOOKUP(Tabela134[[#This Row],[Espécie]],Tabela2[[#All],[Espécie]:[Categoria de risco]],3,FALSE)</f>
        <v>Mamíferos</v>
      </c>
      <c r="E413" s="152" t="str">
        <f>VLOOKUP(Tabela134[[#This Row],[Espécie]],Tabela2[[#All],[Espécie]:[Categoria de risco]],4,FALSE)</f>
        <v>Vulnerável</v>
      </c>
      <c r="G413" s="60" t="s">
        <v>726</v>
      </c>
      <c r="H413" s="152" t="str">
        <f>VLOOKUP(Tabela134[[#This Row],[UC]],Tabela6[[#All],[UC]:[UF]],2,FALSE)</f>
        <v>PR</v>
      </c>
      <c r="I413" s="230" t="s">
        <v>592</v>
      </c>
      <c r="J413" s="192" t="str">
        <f>IFERROR(VLOOKUP(Tabela134[[#This Row],[Espécie]],Tabela8[[#All],[Espécie]:[Nome fantasia]],4, FALSE), 0)</f>
        <v>Ungulados</v>
      </c>
      <c r="K413" s="165" t="s">
        <v>592</v>
      </c>
      <c r="L413" s="165" t="s">
        <v>592</v>
      </c>
    </row>
    <row r="414" spans="1:12" ht="32.25" customHeight="1">
      <c r="A414" s="152" t="s">
        <v>622</v>
      </c>
      <c r="B414" s="171" t="s">
        <v>607</v>
      </c>
      <c r="C414" s="152" t="str">
        <f>VLOOKUP(Tabela134[[#This Row],[Espécie]],Tabela2[[#All],[Espécie]:[Categoria de risco]],2,FALSE)</f>
        <v>Anta</v>
      </c>
      <c r="D414" s="152" t="str">
        <f>VLOOKUP(Tabela134[[#This Row],[Espécie]],Tabela2[[#All],[Espécie]:[Categoria de risco]],3,FALSE)</f>
        <v>Mamíferos</v>
      </c>
      <c r="E414" s="152" t="str">
        <f>VLOOKUP(Tabela134[[#This Row],[Espécie]],Tabela2[[#All],[Espécie]:[Categoria de risco]],4,FALSE)</f>
        <v>Vulnerável</v>
      </c>
      <c r="G414" s="60" t="s">
        <v>725</v>
      </c>
      <c r="H414" s="152" t="str">
        <f>VLOOKUP(Tabela134[[#This Row],[UC]],Tabela6[[#All],[UC]:[UF]],2,FALSE)</f>
        <v>PR</v>
      </c>
      <c r="I414" s="230" t="s">
        <v>592</v>
      </c>
      <c r="J414" s="192" t="str">
        <f>IFERROR(VLOOKUP(Tabela134[[#This Row],[Espécie]],Tabela8[[#All],[Espécie]:[Nome fantasia]],4, FALSE), 0)</f>
        <v>Ungulados</v>
      </c>
      <c r="K414" s="165" t="s">
        <v>592</v>
      </c>
      <c r="L414" s="165" t="s">
        <v>592</v>
      </c>
    </row>
    <row r="415" spans="1:12" ht="32.25" customHeight="1">
      <c r="A415" s="152" t="s">
        <v>622</v>
      </c>
      <c r="B415" s="171" t="s">
        <v>724</v>
      </c>
      <c r="C415" s="152" t="str">
        <f>VLOOKUP(Tabela134[[#This Row],[Espécie]],Tabela2[[#All],[Espécie]:[Categoria de risco]],2,FALSE)</f>
        <v>Queixada</v>
      </c>
      <c r="D415" s="152" t="str">
        <f>VLOOKUP(Tabela134[[#This Row],[Espécie]],Tabela2[[#All],[Espécie]:[Categoria de risco]],3,FALSE)</f>
        <v>Mamíferos</v>
      </c>
      <c r="E415" s="152" t="str">
        <f>VLOOKUP(Tabela134[[#This Row],[Espécie]],Tabela2[[#All],[Espécie]:[Categoria de risco]],4,FALSE)</f>
        <v>Vulnerável</v>
      </c>
      <c r="G415" s="60" t="s">
        <v>722</v>
      </c>
      <c r="H415" s="152" t="str">
        <f>VLOOKUP(Tabela134[[#This Row],[UC]],Tabela6[[#All],[UC]:[UF]],2,FALSE)</f>
        <v>PR</v>
      </c>
      <c r="I415" s="230" t="s">
        <v>592</v>
      </c>
      <c r="J415" s="192" t="str">
        <f>IFERROR(VLOOKUP(Tabela134[[#This Row],[Espécie]],Tabela8[[#All],[Espécie]:[Nome fantasia]],4, FALSE), 0)</f>
        <v>Ungulados</v>
      </c>
      <c r="K415" s="165" t="s">
        <v>592</v>
      </c>
      <c r="L415" s="165" t="s">
        <v>592</v>
      </c>
    </row>
    <row r="416" spans="1:12" ht="32.25" customHeight="1">
      <c r="A416" s="152" t="s">
        <v>622</v>
      </c>
      <c r="B416" s="171" t="s">
        <v>724</v>
      </c>
      <c r="C416" s="152" t="str">
        <f>VLOOKUP(Tabela134[[#This Row],[Espécie]],Tabela2[[#All],[Espécie]:[Categoria de risco]],2,FALSE)</f>
        <v>Queixada</v>
      </c>
      <c r="D416" s="152" t="str">
        <f>VLOOKUP(Tabela134[[#This Row],[Espécie]],Tabela2[[#All],[Espécie]:[Categoria de risco]],3,FALSE)</f>
        <v>Mamíferos</v>
      </c>
      <c r="E416" s="152" t="str">
        <f>VLOOKUP(Tabela134[[#This Row],[Espécie]],Tabela2[[#All],[Espécie]:[Categoria de risco]],4,FALSE)</f>
        <v>Vulnerável</v>
      </c>
      <c r="G416" s="60" t="s">
        <v>725</v>
      </c>
      <c r="H416" s="152" t="str">
        <f>VLOOKUP(Tabela134[[#This Row],[UC]],Tabela6[[#All],[UC]:[UF]],2,FALSE)</f>
        <v>PR</v>
      </c>
      <c r="I416" s="230" t="s">
        <v>592</v>
      </c>
      <c r="J416" s="192" t="str">
        <f>IFERROR(VLOOKUP(Tabela134[[#This Row],[Espécie]],Tabela8[[#All],[Espécie]:[Nome fantasia]],4, FALSE), 0)</f>
        <v>Ungulados</v>
      </c>
      <c r="K416" s="165" t="s">
        <v>592</v>
      </c>
      <c r="L416" s="165" t="s">
        <v>592</v>
      </c>
    </row>
    <row r="417" spans="1:12" ht="32.25" customHeight="1">
      <c r="A417" s="152" t="s">
        <v>590</v>
      </c>
      <c r="B417" s="171" t="s">
        <v>766</v>
      </c>
      <c r="C417" s="152" t="str">
        <f>VLOOKUP(Tabela134[[#This Row],[Espécie]],Tabela2[[#All],[Espécie]:[Categoria de risco]],2,FALSE)</f>
        <v>albatroz-de-nariz-amarelo</v>
      </c>
      <c r="D417" s="152" t="str">
        <f>VLOOKUP(Tabela134[[#This Row],[Espécie]],Tabela2[[#All],[Espécie]:[Categoria de risco]],3,FALSE)</f>
        <v>Aves</v>
      </c>
      <c r="E417" s="152" t="str">
        <f>VLOOKUP(Tabela134[[#This Row],[Espécie]],Tabela2[[#All],[Espécie]:[Categoria de risco]],4,FALSE)</f>
        <v>Em Perigo</v>
      </c>
      <c r="G417" s="60" t="s">
        <v>730</v>
      </c>
      <c r="H417" s="152" t="str">
        <f>VLOOKUP(Tabela134[[#This Row],[UC]],Tabela6[[#All],[UC]:[UF]],2,FALSE)</f>
        <v>SC</v>
      </c>
      <c r="I417" s="230" t="s">
        <v>592</v>
      </c>
      <c r="J417" s="192" t="str">
        <f>IFERROR(VLOOKUP(Tabela134[[#This Row],[Espécie]],Tabela8[[#All],[Espécie]:[Nome fantasia]],4, FALSE), 0)</f>
        <v>Albatrozes e Petréis - 4º ciclo</v>
      </c>
      <c r="K417" s="165" t="s">
        <v>592</v>
      </c>
      <c r="L417" s="165" t="s">
        <v>592</v>
      </c>
    </row>
    <row r="418" spans="1:12" ht="32.25" customHeight="1">
      <c r="A418" s="152" t="s">
        <v>590</v>
      </c>
      <c r="B418" s="171" t="s">
        <v>766</v>
      </c>
      <c r="C418" s="152" t="str">
        <f>VLOOKUP(Tabela134[[#This Row],[Espécie]],Tabela2[[#All],[Espécie]:[Categoria de risco]],2,FALSE)</f>
        <v>albatroz-de-nariz-amarelo</v>
      </c>
      <c r="D418" s="152" t="str">
        <f>VLOOKUP(Tabela134[[#This Row],[Espécie]],Tabela2[[#All],[Espécie]:[Categoria de risco]],3,FALSE)</f>
        <v>Aves</v>
      </c>
      <c r="E418" s="152" t="str">
        <f>VLOOKUP(Tabela134[[#This Row],[Espécie]],Tabela2[[#All],[Espécie]:[Categoria de risco]],4,FALSE)</f>
        <v>Em Perigo</v>
      </c>
      <c r="G418" s="60" t="s">
        <v>770</v>
      </c>
      <c r="H418" s="152" t="str">
        <f>VLOOKUP(Tabela134[[#This Row],[UC]],Tabela6[[#All],[UC]:[UF]],2,FALSE)</f>
        <v>RS</v>
      </c>
      <c r="I418" s="230" t="s">
        <v>592</v>
      </c>
      <c r="J418" s="192" t="str">
        <f>IFERROR(VLOOKUP(Tabela134[[#This Row],[Espécie]],Tabela8[[#All],[Espécie]:[Nome fantasia]],4, FALSE), 0)</f>
        <v>Albatrozes e Petréis - 4º ciclo</v>
      </c>
      <c r="K418" s="165" t="s">
        <v>592</v>
      </c>
      <c r="L418" s="165" t="s">
        <v>592</v>
      </c>
    </row>
    <row r="419" spans="1:12" ht="32.25" customHeight="1">
      <c r="A419" s="152" t="s">
        <v>590</v>
      </c>
      <c r="B419" s="173" t="s">
        <v>802</v>
      </c>
      <c r="C419" s="152" t="str">
        <f>VLOOKUP(Tabela134[[#This Row],[Espécie]],Tabela2[[#All],[Espécie]:[Categoria de risco]],2,FALSE)</f>
        <v>albatroz-de-sobrancelha</v>
      </c>
      <c r="D419" s="152" t="str">
        <f>VLOOKUP(Tabela134[[#This Row],[Espécie]],Tabela2[[#All],[Espécie]:[Categoria de risco]],3,FALSE)</f>
        <v>Aves</v>
      </c>
      <c r="E419" s="152" t="str">
        <f>VLOOKUP(Tabela134[[#This Row],[Espécie]],Tabela2[[#All],[Espécie]:[Categoria de risco]],4,FALSE)</f>
        <v>Quase ameaçada</v>
      </c>
      <c r="G419" s="60" t="s">
        <v>770</v>
      </c>
      <c r="H419" s="152" t="str">
        <f>VLOOKUP(Tabela134[[#This Row],[UC]],Tabela6[[#All],[UC]:[UF]],2,FALSE)</f>
        <v>RS</v>
      </c>
      <c r="I419" s="230" t="s">
        <v>610</v>
      </c>
      <c r="J419" s="192">
        <f>IFERROR(VLOOKUP(Tabela134[[#This Row],[Espécie]],Tabela8[[#All],[Espécie]:[Nome fantasia]],4, FALSE), 0)</f>
        <v>0</v>
      </c>
      <c r="K419" s="165" t="s">
        <v>592</v>
      </c>
      <c r="L419" s="165" t="s">
        <v>592</v>
      </c>
    </row>
    <row r="420" spans="1:12" ht="32.25" customHeight="1">
      <c r="A420" s="152" t="s">
        <v>590</v>
      </c>
      <c r="B420" s="171" t="s">
        <v>647</v>
      </c>
      <c r="C420" s="152" t="str">
        <f>VLOOKUP(Tabela134[[#This Row],[Espécie]],Tabela2[[#All],[Espécie]:[Categoria de risco]],2,FALSE)</f>
        <v>trinta-réis-de-bando</v>
      </c>
      <c r="D420" s="152" t="str">
        <f>VLOOKUP(Tabela134[[#This Row],[Espécie]],Tabela2[[#All],[Espécie]:[Categoria de risco]],3,FALSE)</f>
        <v>Aves</v>
      </c>
      <c r="E420" s="152" t="str">
        <f>VLOOKUP(Tabela134[[#This Row],[Espécie]],Tabela2[[#All],[Espécie]:[Categoria de risco]],4,FALSE)</f>
        <v>Vulnerável</v>
      </c>
      <c r="G420" s="60" t="s">
        <v>643</v>
      </c>
      <c r="H420" s="152" t="str">
        <f>VLOOKUP(Tabela134[[#This Row],[UC]],Tabela6[[#All],[UC]:[UF]],2,FALSE)</f>
        <v>SC</v>
      </c>
      <c r="I420" s="230" t="s">
        <v>592</v>
      </c>
      <c r="J420" s="192" t="str">
        <f>IFERROR(VLOOKUP(Tabela134[[#This Row],[Espécie]],Tabela8[[#All],[Espécie]:[Nome fantasia]],4, FALSE), 0)</f>
        <v>Aves Marinhas - 2º ciclo</v>
      </c>
      <c r="K420" s="165" t="s">
        <v>592</v>
      </c>
      <c r="L420" s="165" t="s">
        <v>592</v>
      </c>
    </row>
    <row r="421" spans="1:12" ht="32.25" customHeight="1">
      <c r="A421" s="152" t="s">
        <v>590</v>
      </c>
      <c r="B421" s="171" t="s">
        <v>647</v>
      </c>
      <c r="C421" s="152" t="str">
        <f>VLOOKUP(Tabela134[[#This Row],[Espécie]],Tabela2[[#All],[Espécie]:[Categoria de risco]],2,FALSE)</f>
        <v>trinta-réis-de-bando</v>
      </c>
      <c r="D421" s="152" t="str">
        <f>VLOOKUP(Tabela134[[#This Row],[Espécie]],Tabela2[[#All],[Espécie]:[Categoria de risco]],3,FALSE)</f>
        <v>Aves</v>
      </c>
      <c r="E421" s="152" t="str">
        <f>VLOOKUP(Tabela134[[#This Row],[Espécie]],Tabela2[[#All],[Espécie]:[Categoria de risco]],4,FALSE)</f>
        <v>Vulnerável</v>
      </c>
      <c r="G421" s="60" t="s">
        <v>680</v>
      </c>
      <c r="H421" s="152" t="str">
        <f>VLOOKUP(Tabela134[[#This Row],[UC]],Tabela6[[#All],[UC]:[UF]],2,FALSE)</f>
        <v>RS</v>
      </c>
      <c r="I421" s="230" t="s">
        <v>592</v>
      </c>
      <c r="J421" s="192" t="str">
        <f>IFERROR(VLOOKUP(Tabela134[[#This Row],[Espécie]],Tabela8[[#All],[Espécie]:[Nome fantasia]],4, FALSE), 0)</f>
        <v>Aves Marinhas - 2º ciclo</v>
      </c>
      <c r="K421" s="165" t="s">
        <v>610</v>
      </c>
      <c r="L421" s="165" t="s">
        <v>592</v>
      </c>
    </row>
    <row r="422" spans="1:12" ht="32.25" customHeight="1">
      <c r="A422" s="152" t="s">
        <v>590</v>
      </c>
      <c r="B422" s="171" t="s">
        <v>647</v>
      </c>
      <c r="C422" s="152" t="str">
        <f>VLOOKUP(Tabela134[[#This Row],[Espécie]],Tabela2[[#All],[Espécie]:[Categoria de risco]],2,FALSE)</f>
        <v>trinta-réis-de-bando</v>
      </c>
      <c r="D422" s="152" t="str">
        <f>VLOOKUP(Tabela134[[#This Row],[Espécie]],Tabela2[[#All],[Espécie]:[Categoria de risco]],3,FALSE)</f>
        <v>Aves</v>
      </c>
      <c r="E422" s="152" t="str">
        <f>VLOOKUP(Tabela134[[#This Row],[Espécie]],Tabela2[[#All],[Espécie]:[Categoria de risco]],4,FALSE)</f>
        <v>Vulnerável</v>
      </c>
      <c r="G422" s="60" t="s">
        <v>730</v>
      </c>
      <c r="H422" s="152" t="str">
        <f>VLOOKUP(Tabela134[[#This Row],[UC]],Tabela6[[#All],[UC]:[UF]],2,FALSE)</f>
        <v>SC</v>
      </c>
      <c r="I422" s="230" t="s">
        <v>592</v>
      </c>
      <c r="J422" s="192" t="str">
        <f>IFERROR(VLOOKUP(Tabela134[[#This Row],[Espécie]],Tabela8[[#All],[Espécie]:[Nome fantasia]],4, FALSE), 0)</f>
        <v>Aves Marinhas - 2º ciclo</v>
      </c>
      <c r="K422" s="165" t="s">
        <v>592</v>
      </c>
      <c r="L422" s="165" t="s">
        <v>592</v>
      </c>
    </row>
    <row r="423" spans="1:12" ht="32.25" customHeight="1">
      <c r="A423" s="152" t="s">
        <v>590</v>
      </c>
      <c r="B423" s="171" t="s">
        <v>647</v>
      </c>
      <c r="C423" s="152" t="str">
        <f>VLOOKUP(Tabela134[[#This Row],[Espécie]],Tabela2[[#All],[Espécie]:[Categoria de risco]],2,FALSE)</f>
        <v>trinta-réis-de-bando</v>
      </c>
      <c r="D423" s="152" t="str">
        <f>VLOOKUP(Tabela134[[#This Row],[Espécie]],Tabela2[[#All],[Espécie]:[Categoria de risco]],3,FALSE)</f>
        <v>Aves</v>
      </c>
      <c r="E423" s="152" t="str">
        <f>VLOOKUP(Tabela134[[#This Row],[Espécie]],Tabela2[[#All],[Espécie]:[Categoria de risco]],4,FALSE)</f>
        <v>Vulnerável</v>
      </c>
      <c r="G423" s="60" t="s">
        <v>770</v>
      </c>
      <c r="H423" s="152" t="str">
        <f>VLOOKUP(Tabela134[[#This Row],[UC]],Tabela6[[#All],[UC]:[UF]],2,FALSE)</f>
        <v>RS</v>
      </c>
      <c r="I423" s="230" t="s">
        <v>592</v>
      </c>
      <c r="J423" s="192" t="str">
        <f>IFERROR(VLOOKUP(Tabela134[[#This Row],[Espécie]],Tabela8[[#All],[Espécie]:[Nome fantasia]],4, FALSE), 0)</f>
        <v>Aves Marinhas - 2º ciclo</v>
      </c>
      <c r="K423" s="165" t="s">
        <v>592</v>
      </c>
      <c r="L423" s="165" t="s">
        <v>592</v>
      </c>
    </row>
    <row r="424" spans="1:12" ht="32.25" customHeight="1">
      <c r="A424" s="152" t="s">
        <v>590</v>
      </c>
      <c r="B424" s="171" t="s">
        <v>648</v>
      </c>
      <c r="C424" s="152" t="str">
        <f>VLOOKUP(Tabela134[[#This Row],[Espécie]],Tabela2[[#All],[Espécie]:[Categoria de risco]],2,FALSE)</f>
        <v>trinta-réis-real</v>
      </c>
      <c r="D424" s="152" t="str">
        <f>VLOOKUP(Tabela134[[#This Row],[Espécie]],Tabela2[[#All],[Espécie]:[Categoria de risco]],3,FALSE)</f>
        <v>Aves</v>
      </c>
      <c r="E424" s="152" t="str">
        <f>VLOOKUP(Tabela134[[#This Row],[Espécie]],Tabela2[[#All],[Espécie]:[Categoria de risco]],4,FALSE)</f>
        <v>Em Perigo</v>
      </c>
      <c r="G424" s="60" t="s">
        <v>643</v>
      </c>
      <c r="H424" s="152" t="str">
        <f>VLOOKUP(Tabela134[[#This Row],[UC]],Tabela6[[#All],[UC]:[UF]],2,FALSE)</f>
        <v>SC</v>
      </c>
      <c r="I424" s="230" t="s">
        <v>592</v>
      </c>
      <c r="J424" s="192" t="str">
        <f>IFERROR(VLOOKUP(Tabela134[[#This Row],[Espécie]],Tabela8[[#All],[Espécie]:[Nome fantasia]],4, FALSE), 0)</f>
        <v>Aves Marinhas - 2º ciclo</v>
      </c>
      <c r="K424" s="165" t="s">
        <v>592</v>
      </c>
      <c r="L424" s="165" t="s">
        <v>592</v>
      </c>
    </row>
    <row r="425" spans="1:12" ht="32.25" customHeight="1">
      <c r="A425" s="152" t="s">
        <v>590</v>
      </c>
      <c r="B425" s="171" t="s">
        <v>648</v>
      </c>
      <c r="C425" s="152" t="str">
        <f>VLOOKUP(Tabela134[[#This Row],[Espécie]],Tabela2[[#All],[Espécie]:[Categoria de risco]],2,FALSE)</f>
        <v>trinta-réis-real</v>
      </c>
      <c r="D425" s="152" t="str">
        <f>VLOOKUP(Tabela134[[#This Row],[Espécie]],Tabela2[[#All],[Espécie]:[Categoria de risco]],3,FALSE)</f>
        <v>Aves</v>
      </c>
      <c r="E425" s="152" t="str">
        <f>VLOOKUP(Tabela134[[#This Row],[Espécie]],Tabela2[[#All],[Espécie]:[Categoria de risco]],4,FALSE)</f>
        <v>Em Perigo</v>
      </c>
      <c r="G425" s="60" t="s">
        <v>680</v>
      </c>
      <c r="H425" s="152" t="str">
        <f>VLOOKUP(Tabela134[[#This Row],[UC]],Tabela6[[#All],[UC]:[UF]],2,FALSE)</f>
        <v>RS</v>
      </c>
      <c r="I425" s="230" t="s">
        <v>592</v>
      </c>
      <c r="J425" s="192" t="str">
        <f>IFERROR(VLOOKUP(Tabela134[[#This Row],[Espécie]],Tabela8[[#All],[Espécie]:[Nome fantasia]],4, FALSE), 0)</f>
        <v>Aves Marinhas - 2º ciclo</v>
      </c>
      <c r="K425" s="165" t="s">
        <v>610</v>
      </c>
      <c r="L425" s="165" t="s">
        <v>592</v>
      </c>
    </row>
    <row r="426" spans="1:12" ht="32.25" customHeight="1">
      <c r="A426" s="152" t="s">
        <v>590</v>
      </c>
      <c r="B426" s="171" t="s">
        <v>648</v>
      </c>
      <c r="C426" s="152" t="str">
        <f>VLOOKUP(Tabela134[[#This Row],[Espécie]],Tabela2[[#All],[Espécie]:[Categoria de risco]],2,FALSE)</f>
        <v>trinta-réis-real</v>
      </c>
      <c r="D426" s="152" t="str">
        <f>VLOOKUP(Tabela134[[#This Row],[Espécie]],Tabela2[[#All],[Espécie]:[Categoria de risco]],3,FALSE)</f>
        <v>Aves</v>
      </c>
      <c r="E426" s="152" t="str">
        <f>VLOOKUP(Tabela134[[#This Row],[Espécie]],Tabela2[[#All],[Espécie]:[Categoria de risco]],4,FALSE)</f>
        <v>Em Perigo</v>
      </c>
      <c r="G426" s="60" t="s">
        <v>730</v>
      </c>
      <c r="H426" s="152" t="str">
        <f>VLOOKUP(Tabela134[[#This Row],[UC]],Tabela6[[#All],[UC]:[UF]],2,FALSE)</f>
        <v>SC</v>
      </c>
      <c r="I426" s="230" t="s">
        <v>592</v>
      </c>
      <c r="J426" s="192" t="str">
        <f>IFERROR(VLOOKUP(Tabela134[[#This Row],[Espécie]],Tabela8[[#All],[Espécie]:[Nome fantasia]],4, FALSE), 0)</f>
        <v>Aves Marinhas - 2º ciclo</v>
      </c>
      <c r="K426" s="165" t="s">
        <v>592</v>
      </c>
      <c r="L426" s="165" t="s">
        <v>592</v>
      </c>
    </row>
    <row r="427" spans="1:12" ht="32.25" customHeight="1">
      <c r="A427" s="152" t="s">
        <v>590</v>
      </c>
      <c r="B427" s="171" t="s">
        <v>648</v>
      </c>
      <c r="C427" s="152" t="str">
        <f>VLOOKUP(Tabela134[[#This Row],[Espécie]],Tabela2[[#All],[Espécie]:[Categoria de risco]],2,FALSE)</f>
        <v>trinta-réis-real</v>
      </c>
      <c r="D427" s="152" t="str">
        <f>VLOOKUP(Tabela134[[#This Row],[Espécie]],Tabela2[[#All],[Espécie]:[Categoria de risco]],3,FALSE)</f>
        <v>Aves</v>
      </c>
      <c r="E427" s="152" t="str">
        <f>VLOOKUP(Tabela134[[#This Row],[Espécie]],Tabela2[[#All],[Espécie]:[Categoria de risco]],4,FALSE)</f>
        <v>Em Perigo</v>
      </c>
      <c r="G427" s="60" t="s">
        <v>770</v>
      </c>
      <c r="H427" s="152" t="str">
        <f>VLOOKUP(Tabela134[[#This Row],[UC]],Tabela6[[#All],[UC]:[UF]],2,FALSE)</f>
        <v>RS</v>
      </c>
      <c r="I427" s="230" t="s">
        <v>592</v>
      </c>
      <c r="J427" s="192" t="str">
        <f>IFERROR(VLOOKUP(Tabela134[[#This Row],[Espécie]],Tabela8[[#All],[Espécie]:[Nome fantasia]],4, FALSE), 0)</f>
        <v>Aves Marinhas - 2º ciclo</v>
      </c>
      <c r="K427" s="165" t="s">
        <v>592</v>
      </c>
      <c r="L427" s="165" t="s">
        <v>592</v>
      </c>
    </row>
    <row r="428" spans="1:12" ht="32.25" customHeight="1">
      <c r="A428" s="152" t="s">
        <v>590</v>
      </c>
      <c r="B428" s="171" t="s">
        <v>687</v>
      </c>
      <c r="C428" s="152" t="str">
        <f>VLOOKUP(Tabela134[[#This Row],[Espécie]],Tabela2[[#All],[Espécie]:[Categoria de risco]],2,FALSE)</f>
        <v>Choca-da-mata</v>
      </c>
      <c r="D428" s="152" t="str">
        <f>VLOOKUP(Tabela134[[#This Row],[Espécie]],Tabela2[[#All],[Espécie]:[Categoria de risco]],3,FALSE)</f>
        <v>Aves</v>
      </c>
      <c r="E428" s="152" t="str">
        <f>VLOOKUP(Tabela134[[#This Row],[Espécie]],Tabela2[[#All],[Espécie]:[Categoria de risco]],4,FALSE)</f>
        <v>Menos preocupante</v>
      </c>
      <c r="F428" s="172" t="s">
        <v>674</v>
      </c>
      <c r="G428" s="60" t="s">
        <v>680</v>
      </c>
      <c r="H428" s="152" t="str">
        <f>VLOOKUP(Tabela134[[#This Row],[UC]],Tabela6[[#All],[UC]:[UF]],2,FALSE)</f>
        <v>RS</v>
      </c>
      <c r="I428" s="230" t="s">
        <v>592</v>
      </c>
      <c r="J428" s="192" t="str">
        <f>IFERROR(VLOOKUP(Tabela134[[#This Row],[Espécie]],Tabela8[[#All],[Espécie]:[Nome fantasia]],4, FALSE), 0)</f>
        <v>Aves da Mata Atlântica - 2º ciclo</v>
      </c>
      <c r="K428" s="165" t="s">
        <v>610</v>
      </c>
      <c r="L428" s="165" t="s">
        <v>592</v>
      </c>
    </row>
    <row r="429" spans="1:12" ht="32.25" customHeight="1">
      <c r="A429" s="152" t="s">
        <v>590</v>
      </c>
      <c r="B429" s="171" t="s">
        <v>621</v>
      </c>
      <c r="C429" s="152" t="str">
        <f>VLOOKUP(Tabela134[[#This Row],[Espécie]],Tabela2[[#All],[Espécie]:[Categoria de risco]],2,FALSE)</f>
        <v>socó-boi-escuro</v>
      </c>
      <c r="D429" s="152" t="str">
        <f>VLOOKUP(Tabela134[[#This Row],[Espécie]],Tabela2[[#All],[Espécie]:[Categoria de risco]],3,FALSE)</f>
        <v>Aves</v>
      </c>
      <c r="E429" s="152" t="str">
        <f>VLOOKUP(Tabela134[[#This Row],[Espécie]],Tabela2[[#All],[Espécie]:[Categoria de risco]],4,FALSE)</f>
        <v>Vulnerável</v>
      </c>
      <c r="G429" s="60" t="s">
        <v>613</v>
      </c>
      <c r="H429" s="152" t="str">
        <f>VLOOKUP(Tabela134[[#This Row],[UC]],Tabela6[[#All],[UC]:[UF]],2,FALSE)</f>
        <v>SP/PR</v>
      </c>
      <c r="I429" s="230" t="s">
        <v>592</v>
      </c>
      <c r="J429" s="192" t="str">
        <f>IFERROR(VLOOKUP(Tabela134[[#This Row],[Espécie]],Tabela8[[#All],[Espécie]:[Nome fantasia]],4, FALSE), 0)</f>
        <v>Aves da Mata Atlântica - 2º ciclo</v>
      </c>
      <c r="K429" s="165" t="s">
        <v>592</v>
      </c>
      <c r="L429" s="165" t="s">
        <v>592</v>
      </c>
    </row>
    <row r="430" spans="1:12" ht="32.25" customHeight="1">
      <c r="A430" s="152" t="s">
        <v>590</v>
      </c>
      <c r="B430" s="171" t="s">
        <v>621</v>
      </c>
      <c r="C430" s="152" t="str">
        <f>VLOOKUP(Tabela134[[#This Row],[Espécie]],Tabela2[[#All],[Espécie]:[Categoria de risco]],2,FALSE)</f>
        <v>socó-boi-escuro</v>
      </c>
      <c r="D430" s="152" t="str">
        <f>VLOOKUP(Tabela134[[#This Row],[Espécie]],Tabela2[[#All],[Espécie]:[Categoria de risco]],3,FALSE)</f>
        <v>Aves</v>
      </c>
      <c r="E430" s="152" t="str">
        <f>VLOOKUP(Tabela134[[#This Row],[Espécie]],Tabela2[[#All],[Espécie]:[Categoria de risco]],4,FALSE)</f>
        <v>Vulnerável</v>
      </c>
      <c r="G430" s="60" t="s">
        <v>709</v>
      </c>
      <c r="H430" s="152" t="str">
        <f>VLOOKUP(Tabela134[[#This Row],[UC]],Tabela6[[#All],[UC]:[UF]],2,FALSE)</f>
        <v>PR</v>
      </c>
      <c r="I430" s="230" t="s">
        <v>592</v>
      </c>
      <c r="J430" s="192" t="str">
        <f>IFERROR(VLOOKUP(Tabela134[[#This Row],[Espécie]],Tabela8[[#All],[Espécie]:[Nome fantasia]],4, FALSE), 0)</f>
        <v>Aves da Mata Atlântica - 2º ciclo</v>
      </c>
      <c r="K430" s="165" t="s">
        <v>610</v>
      </c>
      <c r="L430" s="165" t="s">
        <v>592</v>
      </c>
    </row>
    <row r="431" spans="1:12" ht="32.25" customHeight="1">
      <c r="A431" s="152" t="s">
        <v>590</v>
      </c>
      <c r="B431" s="171" t="s">
        <v>621</v>
      </c>
      <c r="C431" s="152" t="str">
        <f>VLOOKUP(Tabela134[[#This Row],[Espécie]],Tabela2[[#All],[Espécie]:[Categoria de risco]],2,FALSE)</f>
        <v>socó-boi-escuro</v>
      </c>
      <c r="D431" s="152" t="str">
        <f>VLOOKUP(Tabela134[[#This Row],[Espécie]],Tabela2[[#All],[Espécie]:[Categoria de risco]],3,FALSE)</f>
        <v>Aves</v>
      </c>
      <c r="E431" s="152" t="str">
        <f>VLOOKUP(Tabela134[[#This Row],[Espécie]],Tabela2[[#All],[Espécie]:[Categoria de risco]],4,FALSE)</f>
        <v>Vulnerável</v>
      </c>
      <c r="G431" s="60" t="s">
        <v>715</v>
      </c>
      <c r="H431" s="152" t="str">
        <f>VLOOKUP(Tabela134[[#This Row],[UC]],Tabela6[[#All],[UC]:[UF]],2,FALSE)</f>
        <v>PR</v>
      </c>
      <c r="I431" s="230" t="s">
        <v>592</v>
      </c>
      <c r="J431" s="192" t="str">
        <f>IFERROR(VLOOKUP(Tabela134[[#This Row],[Espécie]],Tabela8[[#All],[Espécie]:[Nome fantasia]],4, FALSE), 0)</f>
        <v>Aves da Mata Atlântica - 2º ciclo</v>
      </c>
      <c r="K431" s="165" t="s">
        <v>592</v>
      </c>
      <c r="L431" s="165" t="s">
        <v>592</v>
      </c>
    </row>
    <row r="432" spans="1:12" ht="32.25" customHeight="1">
      <c r="A432" s="175" t="s">
        <v>2320</v>
      </c>
      <c r="B432" s="180" t="s">
        <v>1285</v>
      </c>
      <c r="C432" s="181" t="str">
        <f>VLOOKUP(Tabela134[[#This Row],[Espécie]],Tabela2[[#All],[Espécie]:[Categoria de risco]],2,FALSE)</f>
        <v>apuim-de-costas-pretas</v>
      </c>
      <c r="D432" s="182" t="str">
        <f>VLOOKUP(Tabela134[[#This Row],[Espécie]],Tabela2[[#All],[Espécie]:[Categoria de risco]],3,FALSE)</f>
        <v>Aves</v>
      </c>
      <c r="E432" s="152" t="str">
        <f>VLOOKUP(Tabela134[[#This Row],[Espécie]],Tabela2[[#All],[Espécie]:[Categoria de risco]],4,FALSE)</f>
        <v>Vulnerável</v>
      </c>
      <c r="F432" s="175" t="s">
        <v>2313</v>
      </c>
      <c r="G432" s="183" t="s">
        <v>613</v>
      </c>
      <c r="H432" s="152" t="str">
        <f>VLOOKUP(Tabela134[[#This Row],[UC]],Tabela6[[#All],[UC]:[UF]],2,FALSE)</f>
        <v>SP/PR</v>
      </c>
      <c r="I432" s="230" t="s">
        <v>592</v>
      </c>
      <c r="J432" s="193" t="str">
        <f>IFERROR(VLOOKUP(Tabela134[[#This Row],[Espécie]],Tabela8[[#All],[Espécie]:[Nome fantasia]],4, FALSE), 0)</f>
        <v>Aves da Mata Atlântica - 2º ciclo</v>
      </c>
      <c r="K432" s="165" t="s">
        <v>610</v>
      </c>
      <c r="L432" s="165" t="s">
        <v>610</v>
      </c>
    </row>
    <row r="433" spans="1:25" ht="32.25" customHeight="1">
      <c r="A433" s="175" t="s">
        <v>2320</v>
      </c>
      <c r="B433" s="180" t="s">
        <v>1285</v>
      </c>
      <c r="C433" s="181" t="str">
        <f>VLOOKUP(Tabela134[[#This Row],[Espécie]],Tabela2[[#All],[Espécie]:[Categoria de risco]],2,FALSE)</f>
        <v>apuim-de-costas-pretas</v>
      </c>
      <c r="D433" s="182" t="str">
        <f>VLOOKUP(Tabela134[[#This Row],[Espécie]],Tabela2[[#All],[Espécie]:[Categoria de risco]],3,FALSE)</f>
        <v>Aves</v>
      </c>
      <c r="E433" s="152" t="str">
        <f>VLOOKUP(Tabela134[[#This Row],[Espécie]],Tabela2[[#All],[Espécie]:[Categoria de risco]],4,FALSE)</f>
        <v>Vulnerável</v>
      </c>
      <c r="F433" s="175" t="s">
        <v>2313</v>
      </c>
      <c r="G433" s="183" t="s">
        <v>709</v>
      </c>
      <c r="H433" s="152" t="str">
        <f>VLOOKUP(Tabela134[[#This Row],[UC]],Tabela6[[#All],[UC]:[UF]],2,FALSE)</f>
        <v>PR</v>
      </c>
      <c r="I433" s="230" t="s">
        <v>592</v>
      </c>
      <c r="J433" s="193" t="str">
        <f>IFERROR(VLOOKUP(Tabela134[[#This Row],[Espécie]],Tabela8[[#All],[Espécie]:[Nome fantasia]],4, FALSE), 0)</f>
        <v>Aves da Mata Atlântica - 2º ciclo</v>
      </c>
      <c r="K433" s="165" t="s">
        <v>610</v>
      </c>
      <c r="L433" s="165" t="s">
        <v>610</v>
      </c>
      <c r="M433" s="181"/>
      <c r="N433" s="184"/>
      <c r="O433" s="181"/>
      <c r="P433" s="181"/>
      <c r="Q433" s="181"/>
      <c r="R433" s="181"/>
      <c r="S433" s="181"/>
      <c r="T433" s="184"/>
      <c r="U433" s="184"/>
      <c r="V433" s="184"/>
      <c r="W433" s="181"/>
      <c r="X433" s="181"/>
      <c r="Y433" s="181"/>
    </row>
    <row r="434" spans="1:25" ht="32.25" customHeight="1">
      <c r="A434" s="152" t="s">
        <v>590</v>
      </c>
      <c r="B434" s="173" t="s">
        <v>826</v>
      </c>
      <c r="C434" s="152" t="str">
        <f>VLOOKUP(Tabela134[[#This Row],[Espécie]],Tabela2[[#All],[Espécie]:[Categoria de risco]],2,FALSE)</f>
        <v>espada</v>
      </c>
      <c r="D434" s="152" t="str">
        <f>VLOOKUP(Tabela134[[#This Row],[Espécie]],Tabela2[[#All],[Espécie]:[Categoria de risco]],3,FALSE)</f>
        <v>Peixes Marinhos (ósseos)</v>
      </c>
      <c r="E434" s="152" t="str">
        <f>VLOOKUP(Tabela134[[#This Row],[Espécie]],Tabela2[[#All],[Espécie]:[Categoria de risco]],4,FALSE)</f>
        <v>Menos preocupante</v>
      </c>
      <c r="G434" s="60" t="s">
        <v>770</v>
      </c>
      <c r="H434" s="152" t="str">
        <f>VLOOKUP(Tabela134[[#This Row],[UC]],Tabela6[[#All],[UC]:[UF]],2,FALSE)</f>
        <v>RS</v>
      </c>
      <c r="I434" s="230" t="s">
        <v>610</v>
      </c>
      <c r="J434" s="192">
        <f>IFERROR(VLOOKUP(Tabela134[[#This Row],[Espécie]],Tabela8[[#All],[Espécie]:[Nome fantasia]],4, FALSE), 0)</f>
        <v>0</v>
      </c>
      <c r="K434" s="165" t="s">
        <v>592</v>
      </c>
      <c r="L434" s="165" t="s">
        <v>592</v>
      </c>
    </row>
    <row r="435" spans="1:25" ht="32.25" customHeight="1">
      <c r="A435" s="152" t="s">
        <v>590</v>
      </c>
      <c r="B435" s="173" t="s">
        <v>784</v>
      </c>
      <c r="C435" s="152" t="str">
        <f>VLOOKUP(Tabela134[[#This Row],[Espécie]],Tabela2[[#All],[Espécie]:[Categoria de risco]],2,FALSE)</f>
        <v>Golfinho-nariz-de-garrafa</v>
      </c>
      <c r="D435" s="152" t="str">
        <f>VLOOKUP(Tabela134[[#This Row],[Espécie]],Tabela2[[#All],[Espécie]:[Categoria de risco]],3,FALSE)</f>
        <v>Mamíferos</v>
      </c>
      <c r="E435" s="152" t="str">
        <f>VLOOKUP(Tabela134[[#This Row],[Espécie]],Tabela2[[#All],[Espécie]:[Categoria de risco]],4,FALSE)</f>
        <v>Menos preocupante</v>
      </c>
      <c r="G435" s="60" t="s">
        <v>770</v>
      </c>
      <c r="H435" s="152" t="str">
        <f>VLOOKUP(Tabela134[[#This Row],[UC]],Tabela6[[#All],[UC]:[UF]],2,FALSE)</f>
        <v>RS</v>
      </c>
      <c r="I435" s="230" t="s">
        <v>610</v>
      </c>
      <c r="J435" s="192">
        <f>IFERROR(VLOOKUP(Tabela134[[#This Row],[Espécie]],Tabela8[[#All],[Espécie]:[Nome fantasia]],4, FALSE), 0)</f>
        <v>0</v>
      </c>
      <c r="K435" s="165" t="s">
        <v>592</v>
      </c>
      <c r="L435" s="165" t="s">
        <v>592</v>
      </c>
    </row>
    <row r="436" spans="1:25" ht="32.25" customHeight="1">
      <c r="A436" s="152" t="s">
        <v>622</v>
      </c>
      <c r="B436" s="171" t="s">
        <v>623</v>
      </c>
      <c r="C436" s="152" t="str">
        <f>VLOOKUP(Tabela134[[#This Row],[Espécie]],Tabela2[[#All],[Espécie]:[Categoria de risco]],2,FALSE)</f>
        <v>Caranguejo-uça</v>
      </c>
      <c r="D436" s="152" t="str">
        <f>VLOOKUP(Tabela134[[#This Row],[Espécie]],Tabela2[[#All],[Espécie]:[Categoria de risco]],3,FALSE)</f>
        <v>Invertebrados Marinhos</v>
      </c>
      <c r="E436" s="152" t="str">
        <f>VLOOKUP(Tabela134[[#This Row],[Espécie]],Tabela2[[#All],[Espécie]:[Categoria de risco]],4,FALSE)</f>
        <v>Quase ameaçada</v>
      </c>
      <c r="G436" s="60" t="s">
        <v>613</v>
      </c>
      <c r="H436" s="152" t="str">
        <f>VLOOKUP(Tabela134[[#This Row],[UC]],Tabela6[[#All],[UC]:[UF]],2,FALSE)</f>
        <v>SP/PR</v>
      </c>
      <c r="I436" s="230" t="s">
        <v>610</v>
      </c>
      <c r="J436" s="192">
        <f>IFERROR(VLOOKUP(Tabela134[[#This Row],[Espécie]],Tabela8[[#All],[Espécie]:[Nome fantasia]],4, FALSE), 0)</f>
        <v>0</v>
      </c>
      <c r="K436" s="165" t="s">
        <v>592</v>
      </c>
      <c r="L436" s="165" t="s">
        <v>592</v>
      </c>
    </row>
    <row r="437" spans="1:25" ht="32.25" customHeight="1">
      <c r="A437" s="152" t="s">
        <v>622</v>
      </c>
      <c r="B437" s="171" t="s">
        <v>623</v>
      </c>
      <c r="C437" s="152" t="str">
        <f>VLOOKUP(Tabela134[[#This Row],[Espécie]],Tabela2[[#All],[Espécie]:[Categoria de risco]],2,FALSE)</f>
        <v>Caranguejo-uça</v>
      </c>
      <c r="D437" s="152" t="str">
        <f>VLOOKUP(Tabela134[[#This Row],[Espécie]],Tabela2[[#All],[Espécie]:[Categoria de risco]],3,FALSE)</f>
        <v>Invertebrados Marinhos</v>
      </c>
      <c r="E437" s="152" t="str">
        <f>VLOOKUP(Tabela134[[#This Row],[Espécie]],Tabela2[[#All],[Espécie]:[Categoria de risco]],4,FALSE)</f>
        <v>Quase ameaçada</v>
      </c>
      <c r="G437" s="60" t="s">
        <v>651</v>
      </c>
      <c r="H437" s="152" t="str">
        <f>VLOOKUP(Tabela134[[#This Row],[UC]],Tabela6[[#All],[UC]:[UF]],2,FALSE)</f>
        <v>PR</v>
      </c>
      <c r="I437" s="230" t="s">
        <v>610</v>
      </c>
      <c r="J437" s="192">
        <f>IFERROR(VLOOKUP(Tabela134[[#This Row],[Espécie]],Tabela8[[#All],[Espécie]:[Nome fantasia]],4, FALSE), 0)</f>
        <v>0</v>
      </c>
      <c r="K437" s="165" t="s">
        <v>592</v>
      </c>
      <c r="L437" s="165" t="s">
        <v>592</v>
      </c>
    </row>
    <row r="438" spans="1:25" ht="32.25" customHeight="1">
      <c r="A438" s="152" t="s">
        <v>622</v>
      </c>
      <c r="B438" s="171" t="s">
        <v>623</v>
      </c>
      <c r="C438" s="152" t="str">
        <f>VLOOKUP(Tabela134[[#This Row],[Espécie]],Tabela2[[#All],[Espécie]:[Categoria de risco]],2,FALSE)</f>
        <v>Caranguejo-uça</v>
      </c>
      <c r="D438" s="152" t="str">
        <f>VLOOKUP(Tabela134[[#This Row],[Espécie]],Tabela2[[#All],[Espécie]:[Categoria de risco]],3,FALSE)</f>
        <v>Invertebrados Marinhos</v>
      </c>
      <c r="E438" s="152" t="str">
        <f>VLOOKUP(Tabela134[[#This Row],[Espécie]],Tabela2[[#All],[Espécie]:[Categoria de risco]],4,FALSE)</f>
        <v>Quase ameaçada</v>
      </c>
      <c r="F438" s="173"/>
      <c r="G438" s="60" t="s">
        <v>718</v>
      </c>
      <c r="H438" s="152" t="str">
        <f>VLOOKUP(Tabela134[[#This Row],[UC]],Tabela6[[#All],[UC]:[UF]],2,FALSE)</f>
        <v>SP/PR</v>
      </c>
      <c r="I438" s="230" t="s">
        <v>610</v>
      </c>
      <c r="J438" s="192">
        <f>IFERROR(VLOOKUP(Tabela134[[#This Row],[Espécie]],Tabela8[[#All],[Espécie]:[Nome fantasia]],4, FALSE), 0)</f>
        <v>0</v>
      </c>
      <c r="K438" s="165" t="s">
        <v>592</v>
      </c>
      <c r="L438" s="165" t="s">
        <v>592</v>
      </c>
    </row>
    <row r="439" spans="1:25" ht="32.25" customHeight="1">
      <c r="A439" s="152" t="s">
        <v>590</v>
      </c>
      <c r="B439" s="173" t="s">
        <v>823</v>
      </c>
      <c r="C439" s="152" t="str">
        <f>VLOOKUP(Tabela134[[#This Row],[Espécie]],Tabela2[[#All],[Espécie]:[Categoria de risco]],2,FALSE)</f>
        <v>castanha, corvina-branca, corvina-riscada</v>
      </c>
      <c r="D439" s="152" t="str">
        <f>VLOOKUP(Tabela134[[#This Row],[Espécie]],Tabela2[[#All],[Espécie]:[Categoria de risco]],3,FALSE)</f>
        <v>Peixes Marinhos (ósseos)</v>
      </c>
      <c r="E439" s="152" t="str">
        <f>VLOOKUP(Tabela134[[#This Row],[Espécie]],Tabela2[[#All],[Espécie]:[Categoria de risco]],4,FALSE)</f>
        <v>Menos preocupante</v>
      </c>
      <c r="F439" s="152" t="s">
        <v>695</v>
      </c>
      <c r="G439" s="60" t="s">
        <v>770</v>
      </c>
      <c r="H439" s="152" t="str">
        <f>VLOOKUP(Tabela134[[#This Row],[UC]],Tabela6[[#All],[UC]:[UF]],2,FALSE)</f>
        <v>RS</v>
      </c>
      <c r="I439" s="230" t="s">
        <v>610</v>
      </c>
      <c r="J439" s="192">
        <f>IFERROR(VLOOKUP(Tabela134[[#This Row],[Espécie]],Tabela8[[#All],[Espécie]:[Nome fantasia]],4, FALSE), 0)</f>
        <v>0</v>
      </c>
      <c r="K439" s="165" t="s">
        <v>592</v>
      </c>
      <c r="L439" s="165" t="s">
        <v>592</v>
      </c>
    </row>
    <row r="440" spans="1:25" ht="32.25" customHeight="1">
      <c r="A440" s="152" t="s">
        <v>590</v>
      </c>
      <c r="B440" s="173" t="s">
        <v>814</v>
      </c>
      <c r="C440" s="152" t="str">
        <f>VLOOKUP(Tabela134[[#This Row],[Espécie]],Tabela2[[#All],[Espécie]:[Categoria de risco]],2,FALSE)</f>
        <v>abrótea-de-penacho, abrótea-verdadeira, bacalhau-brasileiro, brazilian codling</v>
      </c>
      <c r="D440" s="152" t="str">
        <f>VLOOKUP(Tabela134[[#This Row],[Espécie]],Tabela2[[#All],[Espécie]:[Categoria de risco]],3,FALSE)</f>
        <v>Peixes Marinhos (ósseos)</v>
      </c>
      <c r="E440" s="152" t="str">
        <f>VLOOKUP(Tabela134[[#This Row],[Espécie]],Tabela2[[#All],[Espécie]:[Categoria de risco]],4,FALSE)</f>
        <v>Quase ameaçada</v>
      </c>
      <c r="G440" s="60" t="s">
        <v>770</v>
      </c>
      <c r="H440" s="152" t="str">
        <f>VLOOKUP(Tabela134[[#This Row],[UC]],Tabela6[[#All],[UC]:[UF]],2,FALSE)</f>
        <v>RS</v>
      </c>
      <c r="I440" s="230" t="s">
        <v>610</v>
      </c>
      <c r="J440" s="192">
        <f>IFERROR(VLOOKUP(Tabela134[[#This Row],[Espécie]],Tabela8[[#All],[Espécie]:[Nome fantasia]],4, FALSE), 0)</f>
        <v>0</v>
      </c>
      <c r="K440" s="165" t="s">
        <v>592</v>
      </c>
      <c r="L440" s="165" t="s">
        <v>592</v>
      </c>
    </row>
    <row r="441" spans="1:25" ht="32.25" customHeight="1">
      <c r="A441" s="152" t="s">
        <v>590</v>
      </c>
      <c r="B441" s="142" t="s">
        <v>676</v>
      </c>
      <c r="C441" s="152" t="str">
        <f>VLOOKUP(Tabela134[[#This Row],[Espécie]],Tabela2[[#All],[Espécie]:[Categoria de risco]],2,FALSE)</f>
        <v>águia-cinzenta</v>
      </c>
      <c r="D441" s="152" t="str">
        <f>VLOOKUP(Tabela134[[#This Row],[Espécie]],Tabela2[[#All],[Espécie]:[Categoria de risco]],3,FALSE)</f>
        <v>Aves</v>
      </c>
      <c r="E441" s="152" t="str">
        <f>VLOOKUP(Tabela134[[#This Row],[Espécie]],Tabela2[[#All],[Espécie]:[Categoria de risco]],4,FALSE)</f>
        <v>Em Perigo</v>
      </c>
      <c r="F441" s="152" t="s">
        <v>677</v>
      </c>
      <c r="G441" s="60" t="s">
        <v>670</v>
      </c>
      <c r="H441" s="152" t="str">
        <f>VLOOKUP(Tabela134[[#This Row],[UC]],Tabela6[[#All],[UC]:[UF]],2,FALSE)</f>
        <v>RS</v>
      </c>
      <c r="I441" s="230" t="s">
        <v>592</v>
      </c>
      <c r="J441" s="192" t="str">
        <f>IFERROR(VLOOKUP(Tabela134[[#This Row],[Espécie]],Tabela8[[#All],[Espécie]:[Nome fantasia]],4, FALSE), 0)</f>
        <v>Aves da Mata Atlântica - 2º ciclo</v>
      </c>
      <c r="K441" s="165" t="s">
        <v>592</v>
      </c>
      <c r="L441" s="165" t="s">
        <v>610</v>
      </c>
    </row>
    <row r="442" spans="1:25" ht="32.25" customHeight="1">
      <c r="A442" s="152" t="s">
        <v>590</v>
      </c>
      <c r="B442" s="142" t="s">
        <v>676</v>
      </c>
      <c r="C442" s="152" t="str">
        <f>VLOOKUP(Tabela134[[#This Row],[Espécie]],Tabela2[[#All],[Espécie]:[Categoria de risco]],2,FALSE)</f>
        <v>águia-cinzenta</v>
      </c>
      <c r="D442" s="152" t="str">
        <f>VLOOKUP(Tabela134[[#This Row],[Espécie]],Tabela2[[#All],[Espécie]:[Categoria de risco]],3,FALSE)</f>
        <v>Aves</v>
      </c>
      <c r="E442" s="152" t="str">
        <f>VLOOKUP(Tabela134[[#This Row],[Espécie]],Tabela2[[#All],[Espécie]:[Categoria de risco]],4,FALSE)</f>
        <v>Em Perigo</v>
      </c>
      <c r="F442" s="152" t="s">
        <v>677</v>
      </c>
      <c r="G442" s="60" t="s">
        <v>692</v>
      </c>
      <c r="H442" s="152" t="str">
        <f>VLOOKUP(Tabela134[[#This Row],[UC]],Tabela6[[#All],[UC]:[UF]],2,FALSE)</f>
        <v>SC/RS</v>
      </c>
      <c r="I442" s="230" t="s">
        <v>592</v>
      </c>
      <c r="J442" s="192" t="str">
        <f>IFERROR(VLOOKUP(Tabela134[[#This Row],[Espécie]],Tabela8[[#All],[Espécie]:[Nome fantasia]],4, FALSE), 0)</f>
        <v>Aves da Mata Atlântica - 2º ciclo</v>
      </c>
      <c r="K442" s="165" t="s">
        <v>610</v>
      </c>
      <c r="L442" s="165" t="s">
        <v>592</v>
      </c>
    </row>
    <row r="443" spans="1:25" ht="32.25" customHeight="1">
      <c r="A443" s="152" t="s">
        <v>590</v>
      </c>
      <c r="B443" s="142" t="s">
        <v>676</v>
      </c>
      <c r="C443" s="152" t="str">
        <f>VLOOKUP(Tabela134[[#This Row],[Espécie]],Tabela2[[#All],[Espécie]:[Categoria de risco]],2,FALSE)</f>
        <v>águia-cinzenta</v>
      </c>
      <c r="D443" s="152" t="str">
        <f>VLOOKUP(Tabela134[[#This Row],[Espécie]],Tabela2[[#All],[Espécie]:[Categoria de risco]],3,FALSE)</f>
        <v>Aves</v>
      </c>
      <c r="E443" s="152" t="str">
        <f>VLOOKUP(Tabela134[[#This Row],[Espécie]],Tabela2[[#All],[Espécie]:[Categoria de risco]],4,FALSE)</f>
        <v>Em Perigo</v>
      </c>
      <c r="F443" s="152" t="s">
        <v>677</v>
      </c>
      <c r="G443" s="60" t="s">
        <v>711</v>
      </c>
      <c r="H443" s="152" t="str">
        <f>VLOOKUP(Tabela134[[#This Row],[UC]],Tabela6[[#All],[UC]:[UF]],2,FALSE)</f>
        <v>SC</v>
      </c>
      <c r="I443" s="230" t="s">
        <v>592</v>
      </c>
      <c r="J443" s="192" t="str">
        <f>IFERROR(VLOOKUP(Tabela134[[#This Row],[Espécie]],Tabela8[[#All],[Espécie]:[Nome fantasia]],4, FALSE), 0)</f>
        <v>Aves da Mata Atlântica - 2º ciclo</v>
      </c>
      <c r="K443" s="165" t="s">
        <v>592</v>
      </c>
      <c r="L443" s="165" t="s">
        <v>592</v>
      </c>
    </row>
    <row r="444" spans="1:25" ht="32.25" customHeight="1">
      <c r="A444" s="152" t="s">
        <v>590</v>
      </c>
      <c r="B444" s="147" t="s">
        <v>701</v>
      </c>
      <c r="C444" s="152" t="str">
        <f>VLOOKUP(Tabela134[[#This Row],[Espécie]],Tabela2[[#All],[Espécie]:[Categoria de risco]],2,FALSE)</f>
        <v>Veste-amarela</v>
      </c>
      <c r="D444" s="152" t="str">
        <f>VLOOKUP(Tabela134[[#This Row],[Espécie]],Tabela2[[#All],[Espécie]:[Categoria de risco]],3,FALSE)</f>
        <v>Aves</v>
      </c>
      <c r="E444" s="152" t="str">
        <f>VLOOKUP(Tabela134[[#This Row],[Espécie]],Tabela2[[#All],[Espécie]:[Categoria de risco]],4,FALSE)</f>
        <v>Vulnerável</v>
      </c>
      <c r="F444" s="172" t="s">
        <v>636</v>
      </c>
      <c r="G444" s="60" t="s">
        <v>700</v>
      </c>
      <c r="H444" s="152" t="str">
        <f>VLOOKUP(Tabela134[[#This Row],[UC]],Tabela6[[#All],[UC]:[UF]],2,FALSE)</f>
        <v>SC/RS</v>
      </c>
      <c r="I444" s="230" t="s">
        <v>592</v>
      </c>
      <c r="J444" s="192" t="str">
        <f>IFERROR(VLOOKUP(Tabela134[[#This Row],[Espécie]],Tabela8[[#All],[Espécie]:[Nome fantasia]],4, FALSE), 0)</f>
        <v>Aves dos Campos Sulinos - 3º ciclo</v>
      </c>
      <c r="K444" s="165" t="s">
        <v>610</v>
      </c>
      <c r="L444" s="165" t="s">
        <v>592</v>
      </c>
    </row>
    <row r="445" spans="1:25" ht="32.25" customHeight="1">
      <c r="A445" s="152" t="s">
        <v>590</v>
      </c>
      <c r="B445" s="147" t="s">
        <v>760</v>
      </c>
      <c r="C445" s="152" t="str">
        <f>VLOOKUP(Tabela134[[#This Row],[Espécie]],Tabela2[[#All],[Espécie]:[Categoria de risco]],2,FALSE)</f>
        <v>Raia-viola, viola</v>
      </c>
      <c r="D445" s="152" t="str">
        <f>VLOOKUP(Tabela134[[#This Row],[Espécie]],Tabela2[[#All],[Espécie]:[Categoria de risco]],3,FALSE)</f>
        <v>Tubarões e Raias</v>
      </c>
      <c r="E445" s="152" t="str">
        <f>VLOOKUP(Tabela134[[#This Row],[Espécie]],Tabela2[[#All],[Espécie]:[Categoria de risco]],4,FALSE)</f>
        <v>Vulnerável</v>
      </c>
      <c r="G445" s="60" t="s">
        <v>730</v>
      </c>
      <c r="H445" s="152" t="str">
        <f>VLOOKUP(Tabela134[[#This Row],[UC]],Tabela6[[#All],[UC]:[UF]],2,FALSE)</f>
        <v>SC</v>
      </c>
      <c r="I445" s="230" t="s">
        <v>592</v>
      </c>
      <c r="J445" s="192" t="str">
        <f>IFERROR(VLOOKUP(Tabela134[[#This Row],[Espécie]],Tabela8[[#All],[Espécie]:[Nome fantasia]],4, FALSE), 0)</f>
        <v xml:space="preserve">Tubarões - 2º ciclo </v>
      </c>
      <c r="K445" s="165" t="s">
        <v>592</v>
      </c>
      <c r="L445" s="165" t="s">
        <v>592</v>
      </c>
    </row>
    <row r="446" spans="1:25" ht="32.25" customHeight="1">
      <c r="A446" s="152" t="s">
        <v>590</v>
      </c>
      <c r="B446" s="147" t="s">
        <v>760</v>
      </c>
      <c r="C446" s="152" t="str">
        <f>VLOOKUP(Tabela134[[#This Row],[Espécie]],Tabela2[[#All],[Espécie]:[Categoria de risco]],2,FALSE)</f>
        <v>Raia-viola, viola</v>
      </c>
      <c r="D446" s="152" t="str">
        <f>VLOOKUP(Tabela134[[#This Row],[Espécie]],Tabela2[[#All],[Espécie]:[Categoria de risco]],3,FALSE)</f>
        <v>Tubarões e Raias</v>
      </c>
      <c r="E446" s="152" t="str">
        <f>VLOOKUP(Tabela134[[#This Row],[Espécie]],Tabela2[[#All],[Espécie]:[Categoria de risco]],4,FALSE)</f>
        <v>Vulnerável</v>
      </c>
      <c r="G446" s="60" t="s">
        <v>770</v>
      </c>
      <c r="H446" s="152" t="str">
        <f>VLOOKUP(Tabela134[[#This Row],[UC]],Tabela6[[#All],[UC]:[UF]],2,FALSE)</f>
        <v>RS</v>
      </c>
      <c r="I446" s="230" t="s">
        <v>592</v>
      </c>
      <c r="J446" s="192" t="str">
        <f>IFERROR(VLOOKUP(Tabela134[[#This Row],[Espécie]],Tabela8[[#All],[Espécie]:[Nome fantasia]],4, FALSE), 0)</f>
        <v xml:space="preserve">Tubarões - 2º ciclo </v>
      </c>
      <c r="K446" s="165" t="s">
        <v>592</v>
      </c>
      <c r="L446" s="165" t="s">
        <v>592</v>
      </c>
    </row>
  </sheetData>
  <dataValidations count="2">
    <dataValidation type="list" allowBlank="1" showInputMessage="1" showErrorMessage="1" sqref="W4:W446">
      <formula1>"Planejado,Vigente,Finalizado,Parado"</formula1>
    </dataValidation>
    <dataValidation type="list" allowBlank="1" showInputMessage="1" showErrorMessage="1" sqref="K4:L446">
      <formula1>"Sim,Não"</formula1>
    </dataValidation>
  </dataValidations>
  <pageMargins left="0.7" right="0.7" top="0.75" bottom="0.75" header="0.3" footer="0.3"/>
  <pageSetup paperSize="9"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sheetPr>
    <tabColor theme="8" tint="-0.249977111117893"/>
  </sheetPr>
  <dimension ref="A1:L44"/>
  <sheetViews>
    <sheetView showGridLines="0" zoomScale="80" zoomScaleNormal="80" workbookViewId="0">
      <pane ySplit="2" topLeftCell="A25" activePane="bottomLeft" state="frozen"/>
      <selection pane="bottomLeft" activeCell="A26" sqref="A26"/>
    </sheetView>
  </sheetViews>
  <sheetFormatPr defaultRowHeight="40.5" customHeight="1"/>
  <cols>
    <col min="1" max="1" width="15.85546875" style="16" customWidth="1"/>
    <col min="2" max="2" width="32.7109375" style="16" customWidth="1"/>
    <col min="3" max="3" width="37.28515625" style="16" customWidth="1"/>
    <col min="4" max="4" width="37.5703125" style="16" customWidth="1"/>
    <col min="5" max="5" width="13.85546875" style="16" customWidth="1"/>
    <col min="6" max="6" width="15.42578125" style="16" customWidth="1"/>
    <col min="7" max="7" width="13.85546875" style="16" customWidth="1"/>
    <col min="8" max="8" width="18.28515625" style="16" customWidth="1"/>
    <col min="9" max="9" width="25.28515625" style="16" customWidth="1"/>
    <col min="10" max="10" width="16.5703125" style="16" customWidth="1"/>
    <col min="11" max="11" width="41" style="22" customWidth="1"/>
    <col min="12" max="12" width="46.140625" style="16" customWidth="1"/>
    <col min="13" max="16384" width="9.140625" style="15"/>
  </cols>
  <sheetData>
    <row r="1" spans="1:12" s="26" customFormat="1" ht="45" customHeight="1">
      <c r="A1" s="160" t="s">
        <v>2201</v>
      </c>
      <c r="B1" s="160"/>
      <c r="C1" s="161"/>
      <c r="D1" s="161"/>
      <c r="E1" s="162"/>
      <c r="F1" s="162"/>
      <c r="G1" s="162"/>
      <c r="H1" s="162"/>
      <c r="I1" s="162"/>
      <c r="J1" s="162"/>
      <c r="K1" s="162"/>
      <c r="L1" s="163"/>
    </row>
    <row r="2" spans="1:12" s="26" customFormat="1" ht="54" customHeight="1">
      <c r="A2" s="87" t="s">
        <v>2498</v>
      </c>
      <c r="B2" s="87" t="s">
        <v>2505</v>
      </c>
      <c r="C2" s="27" t="s">
        <v>2332</v>
      </c>
      <c r="D2" s="98" t="s">
        <v>859</v>
      </c>
      <c r="E2" s="75" t="s">
        <v>27</v>
      </c>
      <c r="F2" s="89" t="s">
        <v>1997</v>
      </c>
      <c r="G2" s="89" t="s">
        <v>1998</v>
      </c>
      <c r="H2" s="87" t="s">
        <v>1995</v>
      </c>
      <c r="I2" s="27" t="s">
        <v>28</v>
      </c>
      <c r="J2" s="98" t="s">
        <v>29</v>
      </c>
      <c r="K2" s="99" t="s">
        <v>30</v>
      </c>
      <c r="L2" s="27" t="s">
        <v>2483</v>
      </c>
    </row>
    <row r="3" spans="1:12" s="26" customFormat="1" ht="77.25" customHeight="1">
      <c r="A3" s="20" t="s">
        <v>32</v>
      </c>
      <c r="B3" s="20" t="s">
        <v>2507</v>
      </c>
      <c r="C3" s="20" t="s">
        <v>33</v>
      </c>
      <c r="D3" s="20" t="s">
        <v>2405</v>
      </c>
      <c r="E3" s="20" t="s">
        <v>34</v>
      </c>
      <c r="F3" s="23">
        <v>44900</v>
      </c>
      <c r="G3" s="23">
        <v>46752</v>
      </c>
      <c r="H3" s="22" t="s">
        <v>2503</v>
      </c>
      <c r="I3" s="21" t="s">
        <v>35</v>
      </c>
      <c r="J3" s="21" t="s">
        <v>36</v>
      </c>
      <c r="K3" s="96" t="s">
        <v>2434</v>
      </c>
      <c r="L3" s="17" t="s">
        <v>38</v>
      </c>
    </row>
    <row r="4" spans="1:12" ht="77.25" customHeight="1">
      <c r="A4" s="20" t="s">
        <v>41</v>
      </c>
      <c r="B4" s="20" t="s">
        <v>2506</v>
      </c>
      <c r="C4" s="20" t="s">
        <v>42</v>
      </c>
      <c r="D4" s="20" t="s">
        <v>2398</v>
      </c>
      <c r="E4" s="20" t="s">
        <v>34</v>
      </c>
      <c r="F4" s="23">
        <v>44782</v>
      </c>
      <c r="G4" s="23">
        <v>46600</v>
      </c>
      <c r="H4" s="22" t="s">
        <v>2000</v>
      </c>
      <c r="I4" s="21" t="s">
        <v>43</v>
      </c>
      <c r="J4" s="21" t="s">
        <v>36</v>
      </c>
      <c r="K4" s="95" t="s">
        <v>2423</v>
      </c>
      <c r="L4" s="17" t="s">
        <v>44</v>
      </c>
    </row>
    <row r="5" spans="1:12" ht="77.25" customHeight="1">
      <c r="A5" s="20" t="s">
        <v>48</v>
      </c>
      <c r="B5" s="20" t="s">
        <v>2508</v>
      </c>
      <c r="C5" s="20" t="s">
        <v>45</v>
      </c>
      <c r="D5" s="20" t="s">
        <v>2393</v>
      </c>
      <c r="E5" s="21" t="s">
        <v>46</v>
      </c>
      <c r="F5" s="23">
        <v>42759</v>
      </c>
      <c r="G5" s="23">
        <v>44593</v>
      </c>
      <c r="H5" s="22" t="s">
        <v>2001</v>
      </c>
      <c r="I5" s="21" t="s">
        <v>49</v>
      </c>
      <c r="J5" s="20" t="s">
        <v>36</v>
      </c>
      <c r="K5" s="95" t="s">
        <v>2424</v>
      </c>
      <c r="L5" s="17" t="s">
        <v>47</v>
      </c>
    </row>
    <row r="6" spans="1:12" s="26" customFormat="1" ht="77.25" customHeight="1">
      <c r="A6" s="20" t="s">
        <v>50</v>
      </c>
      <c r="B6" s="20" t="s">
        <v>2508</v>
      </c>
      <c r="C6" s="20" t="s">
        <v>51</v>
      </c>
      <c r="D6" s="20" t="s">
        <v>2409</v>
      </c>
      <c r="E6" s="20" t="s">
        <v>46</v>
      </c>
      <c r="F6" s="23">
        <v>42964</v>
      </c>
      <c r="G6" s="23">
        <v>44774</v>
      </c>
      <c r="H6" s="22" t="s">
        <v>2002</v>
      </c>
      <c r="I6" s="21" t="s">
        <v>52</v>
      </c>
      <c r="J6" s="21" t="s">
        <v>53</v>
      </c>
      <c r="K6" s="95" t="s">
        <v>37</v>
      </c>
      <c r="L6" s="17" t="s">
        <v>54</v>
      </c>
    </row>
    <row r="7" spans="1:12" s="26" customFormat="1" ht="77.25" customHeight="1">
      <c r="A7" s="24" t="s">
        <v>55</v>
      </c>
      <c r="B7" s="20" t="s">
        <v>2508</v>
      </c>
      <c r="C7" s="24" t="s">
        <v>56</v>
      </c>
      <c r="D7" s="24" t="s">
        <v>2395</v>
      </c>
      <c r="E7" s="21" t="s">
        <v>46</v>
      </c>
      <c r="F7" s="23">
        <v>43095</v>
      </c>
      <c r="G7" s="23">
        <v>44958</v>
      </c>
      <c r="H7" s="22" t="s">
        <v>2003</v>
      </c>
      <c r="I7" s="21" t="s">
        <v>57</v>
      </c>
      <c r="J7" s="21" t="s">
        <v>36</v>
      </c>
      <c r="K7" s="95" t="s">
        <v>2437</v>
      </c>
      <c r="L7" s="17" t="s">
        <v>58</v>
      </c>
    </row>
    <row r="8" spans="1:12" s="26" customFormat="1" ht="77.25" customHeight="1">
      <c r="A8" s="24" t="s">
        <v>59</v>
      </c>
      <c r="B8" s="20" t="s">
        <v>2508</v>
      </c>
      <c r="C8" s="70" t="s">
        <v>2035</v>
      </c>
      <c r="D8" s="70" t="s">
        <v>2397</v>
      </c>
      <c r="E8" s="21" t="s">
        <v>46</v>
      </c>
      <c r="F8" s="23">
        <v>43194</v>
      </c>
      <c r="G8" s="23">
        <v>44986</v>
      </c>
      <c r="H8" s="22" t="s">
        <v>2004</v>
      </c>
      <c r="I8" s="67" t="s">
        <v>60</v>
      </c>
      <c r="J8" s="21" t="s">
        <v>36</v>
      </c>
      <c r="K8" s="95" t="s">
        <v>2438</v>
      </c>
      <c r="L8" s="17" t="s">
        <v>61</v>
      </c>
    </row>
    <row r="9" spans="1:12" s="26" customFormat="1" ht="77.25" customHeight="1">
      <c r="A9" s="24" t="s">
        <v>62</v>
      </c>
      <c r="B9" s="20" t="s">
        <v>2508</v>
      </c>
      <c r="C9" s="24" t="s">
        <v>63</v>
      </c>
      <c r="D9" s="24" t="s">
        <v>2390</v>
      </c>
      <c r="E9" s="21" t="s">
        <v>46</v>
      </c>
      <c r="F9" s="23">
        <v>43214</v>
      </c>
      <c r="G9" s="23">
        <v>45047</v>
      </c>
      <c r="H9" s="22" t="s">
        <v>2005</v>
      </c>
      <c r="I9" s="21" t="s">
        <v>64</v>
      </c>
      <c r="J9" s="21" t="s">
        <v>36</v>
      </c>
      <c r="K9" s="95" t="s">
        <v>2436</v>
      </c>
      <c r="L9" s="17" t="s">
        <v>65</v>
      </c>
    </row>
    <row r="10" spans="1:12" ht="40.5" customHeight="1">
      <c r="A10" s="70" t="s">
        <v>66</v>
      </c>
      <c r="B10" s="20" t="s">
        <v>2508</v>
      </c>
      <c r="C10" s="24" t="s">
        <v>67</v>
      </c>
      <c r="D10" s="24" t="s">
        <v>2396</v>
      </c>
      <c r="E10" s="21" t="s">
        <v>34</v>
      </c>
      <c r="F10" s="23">
        <v>43718</v>
      </c>
      <c r="G10" s="23">
        <v>45536</v>
      </c>
      <c r="H10" s="22" t="s">
        <v>2006</v>
      </c>
      <c r="I10" s="67" t="s">
        <v>68</v>
      </c>
      <c r="J10" s="21" t="s">
        <v>36</v>
      </c>
      <c r="K10" s="95" t="s">
        <v>2421</v>
      </c>
      <c r="L10" s="17" t="s">
        <v>69</v>
      </c>
    </row>
    <row r="11" spans="1:12" ht="40.5" customHeight="1">
      <c r="A11" s="120" t="s">
        <v>1155</v>
      </c>
      <c r="B11" s="20" t="s">
        <v>2508</v>
      </c>
      <c r="C11" s="120" t="s">
        <v>1156</v>
      </c>
      <c r="D11" s="120" t="s">
        <v>2394</v>
      </c>
      <c r="E11" s="121" t="s">
        <v>34</v>
      </c>
      <c r="F11" s="122">
        <v>45170</v>
      </c>
      <c r="G11" s="122">
        <v>46966</v>
      </c>
      <c r="H11" s="123" t="s">
        <v>2207</v>
      </c>
      <c r="I11" s="121" t="s">
        <v>2208</v>
      </c>
      <c r="J11" s="120" t="s">
        <v>36</v>
      </c>
      <c r="K11" s="124" t="s">
        <v>2429</v>
      </c>
      <c r="L11" s="130" t="s">
        <v>2206</v>
      </c>
    </row>
    <row r="12" spans="1:12" ht="77.25" customHeight="1">
      <c r="A12" s="16" t="s">
        <v>71</v>
      </c>
      <c r="B12" s="20" t="s">
        <v>2508</v>
      </c>
      <c r="C12" s="16" t="s">
        <v>70</v>
      </c>
      <c r="D12" s="20" t="s">
        <v>2393</v>
      </c>
      <c r="E12" s="21" t="s">
        <v>34</v>
      </c>
      <c r="F12" s="23">
        <v>45231</v>
      </c>
      <c r="G12" s="23">
        <v>47087</v>
      </c>
      <c r="H12" s="22" t="s">
        <v>2007</v>
      </c>
      <c r="I12" s="67" t="s">
        <v>72</v>
      </c>
      <c r="J12" s="16" t="s">
        <v>36</v>
      </c>
      <c r="K12" s="96" t="s">
        <v>2427</v>
      </c>
      <c r="L12" s="17" t="s">
        <v>47</v>
      </c>
    </row>
    <row r="13" spans="1:12" ht="77.25" customHeight="1">
      <c r="A13" s="68" t="s">
        <v>149</v>
      </c>
      <c r="B13" s="20" t="s">
        <v>2508</v>
      </c>
      <c r="C13" s="68" t="s">
        <v>150</v>
      </c>
      <c r="D13" s="68" t="s">
        <v>2395</v>
      </c>
      <c r="E13" s="67" t="s">
        <v>34</v>
      </c>
      <c r="F13" s="23">
        <v>45658</v>
      </c>
      <c r="G13" s="23">
        <v>47484</v>
      </c>
      <c r="H13" s="66" t="s">
        <v>2008</v>
      </c>
      <c r="I13" s="21" t="s">
        <v>151</v>
      </c>
      <c r="J13" s="16" t="s">
        <v>36</v>
      </c>
      <c r="K13" s="96" t="s">
        <v>2432</v>
      </c>
      <c r="L13" s="69" t="s">
        <v>58</v>
      </c>
    </row>
    <row r="14" spans="1:12" ht="77.25" customHeight="1">
      <c r="A14" s="68" t="s">
        <v>152</v>
      </c>
      <c r="B14" s="20" t="s">
        <v>2508</v>
      </c>
      <c r="C14" s="68" t="s">
        <v>153</v>
      </c>
      <c r="D14" s="70" t="s">
        <v>2397</v>
      </c>
      <c r="E14" s="67" t="s">
        <v>34</v>
      </c>
      <c r="F14" s="23">
        <v>45323</v>
      </c>
      <c r="G14" s="23">
        <v>47150</v>
      </c>
      <c r="H14" s="66" t="s">
        <v>2009</v>
      </c>
      <c r="I14" s="67" t="s">
        <v>154</v>
      </c>
      <c r="J14" s="16" t="s">
        <v>53</v>
      </c>
      <c r="K14" s="22" t="s">
        <v>37</v>
      </c>
      <c r="L14" s="69" t="s">
        <v>61</v>
      </c>
    </row>
    <row r="15" spans="1:12" ht="77.25" customHeight="1">
      <c r="A15" s="68" t="s">
        <v>155</v>
      </c>
      <c r="B15" s="20" t="s">
        <v>2508</v>
      </c>
      <c r="C15" s="68" t="s">
        <v>156</v>
      </c>
      <c r="D15" s="68" t="s">
        <v>2390</v>
      </c>
      <c r="E15" s="67" t="s">
        <v>34</v>
      </c>
      <c r="F15" s="23">
        <v>45658</v>
      </c>
      <c r="G15" s="23">
        <v>47484</v>
      </c>
      <c r="H15" s="66" t="s">
        <v>2033</v>
      </c>
      <c r="I15" s="67" t="s">
        <v>157</v>
      </c>
      <c r="J15" s="94" t="s">
        <v>53</v>
      </c>
      <c r="K15" s="95" t="s">
        <v>37</v>
      </c>
      <c r="L15" s="69" t="s">
        <v>65</v>
      </c>
    </row>
    <row r="16" spans="1:12" ht="77.25" customHeight="1">
      <c r="A16" s="91" t="s">
        <v>2540</v>
      </c>
      <c r="B16" s="20" t="s">
        <v>2509</v>
      </c>
      <c r="C16" s="20" t="s">
        <v>2204</v>
      </c>
      <c r="D16" s="20" t="s">
        <v>2389</v>
      </c>
      <c r="E16" s="67" t="s">
        <v>34</v>
      </c>
      <c r="F16" s="23">
        <v>45779</v>
      </c>
      <c r="G16" s="23">
        <v>47605</v>
      </c>
      <c r="H16" s="22" t="s">
        <v>2517</v>
      </c>
      <c r="I16" s="24" t="s">
        <v>2388</v>
      </c>
      <c r="J16" s="24" t="s">
        <v>53</v>
      </c>
      <c r="K16" s="95" t="s">
        <v>37</v>
      </c>
      <c r="L16" s="92" t="s">
        <v>77</v>
      </c>
    </row>
    <row r="17" spans="1:12" ht="77.25" customHeight="1">
      <c r="A17" s="91" t="s">
        <v>2543</v>
      </c>
      <c r="B17" s="20" t="s">
        <v>2509</v>
      </c>
      <c r="C17" s="20" t="s">
        <v>2183</v>
      </c>
      <c r="D17" s="20" t="s">
        <v>2403</v>
      </c>
      <c r="E17" s="94" t="s">
        <v>102</v>
      </c>
      <c r="F17" s="185">
        <v>2025</v>
      </c>
      <c r="G17" s="21">
        <v>2030</v>
      </c>
      <c r="H17" s="93" t="s">
        <v>2028</v>
      </c>
      <c r="I17" s="24" t="s">
        <v>103</v>
      </c>
      <c r="J17" s="24" t="s">
        <v>53</v>
      </c>
      <c r="K17" s="95" t="s">
        <v>37</v>
      </c>
      <c r="L17" s="92" t="s">
        <v>75</v>
      </c>
    </row>
    <row r="18" spans="1:12" ht="77.25" customHeight="1">
      <c r="A18" s="20" t="s">
        <v>73</v>
      </c>
      <c r="B18" s="20" t="s">
        <v>2509</v>
      </c>
      <c r="C18" s="20" t="s">
        <v>2182</v>
      </c>
      <c r="D18" s="20" t="s">
        <v>2403</v>
      </c>
      <c r="E18" s="21" t="s">
        <v>46</v>
      </c>
      <c r="F18" s="23">
        <v>43273</v>
      </c>
      <c r="G18" s="23">
        <v>45261</v>
      </c>
      <c r="H18" s="22" t="s">
        <v>2010</v>
      </c>
      <c r="I18" s="21" t="s">
        <v>74</v>
      </c>
      <c r="J18" s="21" t="s">
        <v>36</v>
      </c>
      <c r="K18" s="95" t="s">
        <v>2439</v>
      </c>
      <c r="L18" s="92" t="s">
        <v>75</v>
      </c>
    </row>
    <row r="19" spans="1:12" ht="77.25" customHeight="1">
      <c r="A19" s="20" t="s">
        <v>78</v>
      </c>
      <c r="B19" s="20" t="s">
        <v>2509</v>
      </c>
      <c r="C19" s="20" t="s">
        <v>2203</v>
      </c>
      <c r="D19" s="20" t="s">
        <v>2389</v>
      </c>
      <c r="E19" s="21" t="s">
        <v>46</v>
      </c>
      <c r="F19" s="23">
        <v>43287</v>
      </c>
      <c r="G19" s="23">
        <v>45261</v>
      </c>
      <c r="H19" s="22" t="s">
        <v>2011</v>
      </c>
      <c r="I19" s="21" t="s">
        <v>76</v>
      </c>
      <c r="J19" s="21" t="s">
        <v>36</v>
      </c>
      <c r="K19" s="95" t="s">
        <v>2430</v>
      </c>
      <c r="L19" s="92" t="s">
        <v>77</v>
      </c>
    </row>
    <row r="20" spans="1:12" ht="77.25" customHeight="1">
      <c r="A20" s="20" t="s">
        <v>79</v>
      </c>
      <c r="B20" s="20" t="s">
        <v>2509</v>
      </c>
      <c r="C20" s="20" t="s">
        <v>80</v>
      </c>
      <c r="D20" s="20" t="s">
        <v>2419</v>
      </c>
      <c r="E20" s="21" t="s">
        <v>34</v>
      </c>
      <c r="F20" s="23">
        <v>43671</v>
      </c>
      <c r="G20" s="23">
        <v>45474</v>
      </c>
      <c r="H20" s="22" t="s">
        <v>2012</v>
      </c>
      <c r="I20" s="21" t="s">
        <v>81</v>
      </c>
      <c r="J20" s="21" t="s">
        <v>36</v>
      </c>
      <c r="K20" s="95" t="s">
        <v>2213</v>
      </c>
      <c r="L20" s="17" t="s">
        <v>82</v>
      </c>
    </row>
    <row r="21" spans="1:12" ht="77.25" customHeight="1">
      <c r="A21" s="20" t="s">
        <v>85</v>
      </c>
      <c r="B21" s="20" t="s">
        <v>2509</v>
      </c>
      <c r="C21" s="20" t="s">
        <v>83</v>
      </c>
      <c r="D21" s="20" t="s">
        <v>2411</v>
      </c>
      <c r="E21" s="21" t="s">
        <v>34</v>
      </c>
      <c r="F21" s="23">
        <v>44733</v>
      </c>
      <c r="G21" s="23">
        <v>46569</v>
      </c>
      <c r="H21" s="22" t="s">
        <v>2013</v>
      </c>
      <c r="I21" s="21" t="s">
        <v>86</v>
      </c>
      <c r="J21" s="20" t="s">
        <v>36</v>
      </c>
      <c r="K21" s="95" t="s">
        <v>2440</v>
      </c>
      <c r="L21" s="17" t="s">
        <v>84</v>
      </c>
    </row>
    <row r="22" spans="1:12" ht="77.25" customHeight="1">
      <c r="A22" s="24" t="s">
        <v>87</v>
      </c>
      <c r="B22" s="20" t="s">
        <v>2509</v>
      </c>
      <c r="C22" s="24" t="s">
        <v>88</v>
      </c>
      <c r="D22" s="24" t="s">
        <v>2412</v>
      </c>
      <c r="E22" s="21" t="s">
        <v>34</v>
      </c>
      <c r="F22" s="23">
        <v>44747</v>
      </c>
      <c r="G22" s="23">
        <v>46600</v>
      </c>
      <c r="H22" s="22" t="s">
        <v>2014</v>
      </c>
      <c r="I22" s="21" t="s">
        <v>89</v>
      </c>
      <c r="J22" s="24" t="s">
        <v>36</v>
      </c>
      <c r="K22" s="95" t="s">
        <v>2431</v>
      </c>
      <c r="L22" s="17" t="s">
        <v>90</v>
      </c>
    </row>
    <row r="23" spans="1:12" ht="77.25" customHeight="1">
      <c r="A23" s="16" t="s">
        <v>92</v>
      </c>
      <c r="B23" s="20" t="s">
        <v>2509</v>
      </c>
      <c r="C23" s="16" t="s">
        <v>93</v>
      </c>
      <c r="D23" s="16" t="s">
        <v>2413</v>
      </c>
      <c r="E23" s="21" t="s">
        <v>34</v>
      </c>
      <c r="F23" s="23">
        <v>44746</v>
      </c>
      <c r="G23" s="23">
        <v>46601</v>
      </c>
      <c r="H23" s="22" t="s">
        <v>2015</v>
      </c>
      <c r="I23" s="21" t="s">
        <v>94</v>
      </c>
      <c r="J23" s="16" t="s">
        <v>36</v>
      </c>
      <c r="K23" s="97" t="s">
        <v>2036</v>
      </c>
      <c r="L23" s="17" t="s">
        <v>90</v>
      </c>
    </row>
    <row r="24" spans="1:12" ht="77.25" customHeight="1">
      <c r="A24" s="120" t="s">
        <v>1700</v>
      </c>
      <c r="B24" s="20" t="s">
        <v>2509</v>
      </c>
      <c r="C24" s="120" t="s">
        <v>1701</v>
      </c>
      <c r="D24" s="120" t="s">
        <v>2392</v>
      </c>
      <c r="E24" s="21" t="s">
        <v>34</v>
      </c>
      <c r="F24" s="122">
        <v>45566</v>
      </c>
      <c r="G24" s="122">
        <v>47392</v>
      </c>
      <c r="H24" s="123" t="s">
        <v>2209</v>
      </c>
      <c r="I24" s="121" t="s">
        <v>2210</v>
      </c>
      <c r="J24" s="120" t="s">
        <v>36</v>
      </c>
      <c r="K24" s="124" t="s">
        <v>2425</v>
      </c>
      <c r="L24" s="125" t="s">
        <v>2211</v>
      </c>
    </row>
    <row r="25" spans="1:12" ht="77.25" customHeight="1">
      <c r="A25" s="243" t="s">
        <v>2541</v>
      </c>
      <c r="B25" s="20" t="s">
        <v>2510</v>
      </c>
      <c r="C25" s="24" t="s">
        <v>2180</v>
      </c>
      <c r="D25" s="24" t="s">
        <v>2402</v>
      </c>
      <c r="E25" s="94" t="s">
        <v>102</v>
      </c>
      <c r="F25" s="185">
        <v>2025</v>
      </c>
      <c r="G25" s="21">
        <v>2030</v>
      </c>
      <c r="H25" s="93" t="s">
        <v>2028</v>
      </c>
      <c r="I25" s="24" t="s">
        <v>103</v>
      </c>
      <c r="J25" s="24" t="s">
        <v>53</v>
      </c>
      <c r="K25" s="95" t="s">
        <v>37</v>
      </c>
      <c r="L25" s="92" t="s">
        <v>97</v>
      </c>
    </row>
    <row r="26" spans="1:12" ht="77.25" customHeight="1">
      <c r="A26" s="243" t="s">
        <v>2484</v>
      </c>
      <c r="B26" s="20" t="s">
        <v>2510</v>
      </c>
      <c r="C26" s="24" t="s">
        <v>2185</v>
      </c>
      <c r="D26" s="24" t="s">
        <v>2406</v>
      </c>
      <c r="E26" s="94" t="s">
        <v>102</v>
      </c>
      <c r="F26" s="185">
        <v>2025</v>
      </c>
      <c r="G26" s="21">
        <v>2030</v>
      </c>
      <c r="H26" s="93" t="s">
        <v>2028</v>
      </c>
      <c r="I26" s="24" t="s">
        <v>103</v>
      </c>
      <c r="J26" s="24" t="s">
        <v>53</v>
      </c>
      <c r="K26" s="95" t="s">
        <v>37</v>
      </c>
      <c r="L26" s="17" t="s">
        <v>100</v>
      </c>
    </row>
    <row r="27" spans="1:12" ht="77.25" customHeight="1">
      <c r="A27" s="243" t="s">
        <v>101</v>
      </c>
      <c r="B27" s="20" t="s">
        <v>2510</v>
      </c>
      <c r="C27" s="90" t="s">
        <v>2485</v>
      </c>
      <c r="D27" s="90" t="s">
        <v>2346</v>
      </c>
      <c r="E27" s="21" t="s">
        <v>34</v>
      </c>
      <c r="F27" s="23">
        <v>45779</v>
      </c>
      <c r="G27" s="23">
        <v>47605</v>
      </c>
      <c r="H27" s="22" t="s">
        <v>2518</v>
      </c>
      <c r="I27" s="24" t="s">
        <v>2345</v>
      </c>
      <c r="J27" s="24" t="s">
        <v>53</v>
      </c>
      <c r="K27" s="95" t="s">
        <v>37</v>
      </c>
      <c r="L27" s="92" t="s">
        <v>104</v>
      </c>
    </row>
    <row r="28" spans="1:12" ht="77.25" customHeight="1">
      <c r="A28" s="24" t="s">
        <v>95</v>
      </c>
      <c r="B28" s="20" t="s">
        <v>2510</v>
      </c>
      <c r="C28" s="24" t="s">
        <v>2181</v>
      </c>
      <c r="D28" s="24" t="s">
        <v>2402</v>
      </c>
      <c r="E28" s="21" t="s">
        <v>46</v>
      </c>
      <c r="F28" s="23">
        <v>42438</v>
      </c>
      <c r="G28" s="23">
        <v>44228</v>
      </c>
      <c r="H28" s="22" t="s">
        <v>2016</v>
      </c>
      <c r="I28" s="21" t="s">
        <v>96</v>
      </c>
      <c r="J28" s="21" t="s">
        <v>36</v>
      </c>
      <c r="K28" s="96" t="s">
        <v>2202</v>
      </c>
      <c r="L28" s="92" t="s">
        <v>97</v>
      </c>
    </row>
    <row r="29" spans="1:12" ht="77.25" customHeight="1">
      <c r="A29" s="24" t="s">
        <v>98</v>
      </c>
      <c r="B29" s="20" t="s">
        <v>2510</v>
      </c>
      <c r="C29" s="24" t="s">
        <v>2184</v>
      </c>
      <c r="D29" s="24" t="s">
        <v>2406</v>
      </c>
      <c r="E29" s="21" t="s">
        <v>46</v>
      </c>
      <c r="F29" s="23">
        <v>43339</v>
      </c>
      <c r="G29" s="23">
        <v>45170</v>
      </c>
      <c r="H29" s="22" t="s">
        <v>2017</v>
      </c>
      <c r="I29" s="21" t="s">
        <v>99</v>
      </c>
      <c r="J29" s="24" t="s">
        <v>36</v>
      </c>
      <c r="K29" s="95" t="s">
        <v>2435</v>
      </c>
      <c r="L29" s="17" t="s">
        <v>100</v>
      </c>
    </row>
    <row r="30" spans="1:12" ht="77.25" customHeight="1">
      <c r="A30" s="91" t="s">
        <v>2335</v>
      </c>
      <c r="B30" s="20" t="s">
        <v>2511</v>
      </c>
      <c r="C30" s="20" t="s">
        <v>2331</v>
      </c>
      <c r="D30" s="20" t="s">
        <v>2334</v>
      </c>
      <c r="E30" s="21" t="s">
        <v>34</v>
      </c>
      <c r="F30" s="23">
        <v>45779</v>
      </c>
      <c r="G30" s="23">
        <v>47605</v>
      </c>
      <c r="H30" s="22" t="s">
        <v>2519</v>
      </c>
      <c r="I30" s="24" t="s">
        <v>2330</v>
      </c>
      <c r="J30" s="24" t="s">
        <v>53</v>
      </c>
      <c r="K30" s="95" t="s">
        <v>37</v>
      </c>
      <c r="L30" s="17" t="s">
        <v>108</v>
      </c>
    </row>
    <row r="31" spans="1:12" ht="77.25" customHeight="1">
      <c r="A31" s="20" t="s">
        <v>105</v>
      </c>
      <c r="B31" s="20" t="s">
        <v>2511</v>
      </c>
      <c r="C31" s="20" t="s">
        <v>106</v>
      </c>
      <c r="D31" s="20" t="s">
        <v>2333</v>
      </c>
      <c r="E31" s="21" t="s">
        <v>46</v>
      </c>
      <c r="F31" s="23">
        <v>43063</v>
      </c>
      <c r="G31" s="23">
        <v>44896</v>
      </c>
      <c r="H31" s="22" t="s">
        <v>2018</v>
      </c>
      <c r="I31" s="21" t="s">
        <v>107</v>
      </c>
      <c r="J31" s="21" t="s">
        <v>36</v>
      </c>
      <c r="K31" s="95" t="s">
        <v>2428</v>
      </c>
      <c r="L31" s="17" t="s">
        <v>108</v>
      </c>
    </row>
    <row r="32" spans="1:12" ht="77.25" customHeight="1">
      <c r="A32" s="20" t="s">
        <v>109</v>
      </c>
      <c r="B32" s="20" t="s">
        <v>2511</v>
      </c>
      <c r="C32" s="20" t="s">
        <v>110</v>
      </c>
      <c r="D32" s="20" t="s">
        <v>2410</v>
      </c>
      <c r="E32" s="21" t="s">
        <v>34</v>
      </c>
      <c r="F32" s="23">
        <v>43678</v>
      </c>
      <c r="G32" s="23">
        <v>45474</v>
      </c>
      <c r="H32" s="22" t="s">
        <v>2019</v>
      </c>
      <c r="I32" s="21" t="s">
        <v>111</v>
      </c>
      <c r="J32" s="21" t="s">
        <v>36</v>
      </c>
      <c r="K32" s="95" t="s">
        <v>2422</v>
      </c>
      <c r="L32" s="17" t="s">
        <v>112</v>
      </c>
    </row>
    <row r="33" spans="1:12" ht="77.25" customHeight="1">
      <c r="A33" s="20" t="s">
        <v>113</v>
      </c>
      <c r="B33" s="20" t="s">
        <v>2511</v>
      </c>
      <c r="C33" s="20" t="s">
        <v>2212</v>
      </c>
      <c r="D33" s="20" t="s">
        <v>2415</v>
      </c>
      <c r="E33" s="21" t="s">
        <v>34</v>
      </c>
      <c r="F33" s="23">
        <v>44746</v>
      </c>
      <c r="G33" s="23">
        <v>46569</v>
      </c>
      <c r="H33" s="22" t="s">
        <v>2013</v>
      </c>
      <c r="I33" s="21" t="s">
        <v>115</v>
      </c>
      <c r="J33" s="21" t="s">
        <v>36</v>
      </c>
      <c r="K33" s="95" t="s">
        <v>1999</v>
      </c>
      <c r="L33" s="17" t="s">
        <v>116</v>
      </c>
    </row>
    <row r="34" spans="1:12" ht="77.25" customHeight="1">
      <c r="A34" s="20" t="s">
        <v>117</v>
      </c>
      <c r="B34" s="20" t="s">
        <v>2511</v>
      </c>
      <c r="C34" s="91" t="s">
        <v>118</v>
      </c>
      <c r="D34" s="91" t="s">
        <v>2391</v>
      </c>
      <c r="E34" s="21" t="s">
        <v>34</v>
      </c>
      <c r="F34" s="23">
        <v>45308</v>
      </c>
      <c r="G34" s="23">
        <v>47150</v>
      </c>
      <c r="H34" s="66" t="s">
        <v>2032</v>
      </c>
      <c r="I34" s="21" t="s">
        <v>119</v>
      </c>
      <c r="J34" s="21" t="s">
        <v>36</v>
      </c>
      <c r="K34" s="96" t="s">
        <v>2426</v>
      </c>
      <c r="L34" s="17" t="s">
        <v>120</v>
      </c>
    </row>
    <row r="35" spans="1:12" ht="77.25" customHeight="1">
      <c r="A35" s="20" t="s">
        <v>121</v>
      </c>
      <c r="B35" s="20" t="s">
        <v>2512</v>
      </c>
      <c r="C35" s="20" t="s">
        <v>122</v>
      </c>
      <c r="D35" s="20" t="s">
        <v>2401</v>
      </c>
      <c r="E35" s="21" t="s">
        <v>34</v>
      </c>
      <c r="F35" s="23">
        <v>43678</v>
      </c>
      <c r="G35" s="23">
        <v>45474</v>
      </c>
      <c r="H35" s="22" t="s">
        <v>2020</v>
      </c>
      <c r="I35" s="21" t="s">
        <v>123</v>
      </c>
      <c r="J35" s="21" t="s">
        <v>36</v>
      </c>
      <c r="K35" s="96" t="s">
        <v>2433</v>
      </c>
      <c r="L35" s="92" t="s">
        <v>124</v>
      </c>
    </row>
    <row r="36" spans="1:12" ht="78" customHeight="1">
      <c r="A36" s="20" t="s">
        <v>125</v>
      </c>
      <c r="B36" s="20" t="s">
        <v>2512</v>
      </c>
      <c r="C36" s="20" t="s">
        <v>126</v>
      </c>
      <c r="D36" s="20" t="s">
        <v>2418</v>
      </c>
      <c r="E36" s="21" t="s">
        <v>34</v>
      </c>
      <c r="F36" s="23">
        <v>43773</v>
      </c>
      <c r="G36" s="23">
        <v>45536</v>
      </c>
      <c r="H36" s="25" t="s">
        <v>2021</v>
      </c>
      <c r="I36" s="23" t="s">
        <v>127</v>
      </c>
      <c r="J36" s="16" t="s">
        <v>36</v>
      </c>
      <c r="K36" s="95" t="s">
        <v>2442</v>
      </c>
      <c r="L36" s="17" t="s">
        <v>128</v>
      </c>
    </row>
    <row r="37" spans="1:12" ht="78" customHeight="1">
      <c r="A37" s="20" t="s">
        <v>129</v>
      </c>
      <c r="B37" s="20" t="s">
        <v>2513</v>
      </c>
      <c r="C37" s="20" t="s">
        <v>130</v>
      </c>
      <c r="D37" s="20" t="s">
        <v>2407</v>
      </c>
      <c r="E37" s="21" t="s">
        <v>46</v>
      </c>
      <c r="F37" s="23">
        <v>42033</v>
      </c>
      <c r="G37" s="23">
        <v>43831</v>
      </c>
      <c r="H37" s="22" t="s">
        <v>2022</v>
      </c>
      <c r="I37" s="21" t="s">
        <v>131</v>
      </c>
      <c r="J37" s="16" t="s">
        <v>53</v>
      </c>
      <c r="K37" s="95" t="s">
        <v>37</v>
      </c>
      <c r="L37" s="17" t="s">
        <v>132</v>
      </c>
    </row>
    <row r="38" spans="1:12" ht="78" customHeight="1">
      <c r="A38" s="73" t="s">
        <v>1636</v>
      </c>
      <c r="B38" s="20" t="s">
        <v>2514</v>
      </c>
      <c r="C38" s="18" t="s">
        <v>146</v>
      </c>
      <c r="D38" s="18" t="s">
        <v>2414</v>
      </c>
      <c r="E38" s="21" t="s">
        <v>46</v>
      </c>
      <c r="F38" s="23">
        <v>43319</v>
      </c>
      <c r="G38" s="23">
        <v>45108</v>
      </c>
      <c r="H38" s="19" t="s">
        <v>2027</v>
      </c>
      <c r="I38" s="18" t="s">
        <v>147</v>
      </c>
      <c r="J38" s="16" t="s">
        <v>36</v>
      </c>
      <c r="K38" s="22" t="s">
        <v>2420</v>
      </c>
      <c r="L38" s="17" t="s">
        <v>148</v>
      </c>
    </row>
    <row r="39" spans="1:12" ht="78" customHeight="1">
      <c r="A39" s="20" t="s">
        <v>133</v>
      </c>
      <c r="B39" s="20" t="s">
        <v>2514</v>
      </c>
      <c r="C39" s="20" t="s">
        <v>134</v>
      </c>
      <c r="D39" s="20" t="s">
        <v>2416</v>
      </c>
      <c r="E39" s="21" t="s">
        <v>34</v>
      </c>
      <c r="F39" s="23">
        <v>43671</v>
      </c>
      <c r="G39" s="23">
        <v>45474</v>
      </c>
      <c r="H39" s="22" t="s">
        <v>2023</v>
      </c>
      <c r="I39" s="21" t="s">
        <v>135</v>
      </c>
      <c r="J39" s="21" t="s">
        <v>36</v>
      </c>
      <c r="K39" s="95" t="s">
        <v>2034</v>
      </c>
      <c r="L39" s="17" t="s">
        <v>136</v>
      </c>
    </row>
    <row r="40" spans="1:12" ht="78" customHeight="1">
      <c r="A40" s="244" t="s">
        <v>2542</v>
      </c>
      <c r="B40" s="20" t="s">
        <v>2515</v>
      </c>
      <c r="C40" s="120" t="s">
        <v>2378</v>
      </c>
      <c r="D40" s="120" t="s">
        <v>2377</v>
      </c>
      <c r="E40" s="94" t="s">
        <v>102</v>
      </c>
      <c r="F40" s="185">
        <v>2025</v>
      </c>
      <c r="G40" s="21">
        <v>2030</v>
      </c>
      <c r="H40" s="93" t="s">
        <v>2028</v>
      </c>
      <c r="I40" s="24" t="s">
        <v>2379</v>
      </c>
      <c r="J40" s="24" t="s">
        <v>53</v>
      </c>
      <c r="K40" s="95" t="s">
        <v>37</v>
      </c>
      <c r="L40" s="130" t="s">
        <v>2188</v>
      </c>
    </row>
    <row r="41" spans="1:12" ht="78" customHeight="1">
      <c r="A41" s="120" t="s">
        <v>1640</v>
      </c>
      <c r="B41" s="20" t="s">
        <v>2515</v>
      </c>
      <c r="C41" s="120" t="s">
        <v>2205</v>
      </c>
      <c r="D41" s="120" t="s">
        <v>2400</v>
      </c>
      <c r="E41" s="21" t="s">
        <v>46</v>
      </c>
      <c r="F41" s="122">
        <v>43199</v>
      </c>
      <c r="G41" s="122"/>
      <c r="H41" s="123" t="s">
        <v>2186</v>
      </c>
      <c r="I41" s="121" t="s">
        <v>2187</v>
      </c>
      <c r="J41" s="120" t="s">
        <v>36</v>
      </c>
      <c r="K41" s="124" t="s">
        <v>2399</v>
      </c>
      <c r="L41" s="130" t="s">
        <v>2188</v>
      </c>
    </row>
    <row r="42" spans="1:12" ht="65.25" customHeight="1">
      <c r="A42" s="24" t="s">
        <v>138</v>
      </c>
      <c r="B42" s="20" t="s">
        <v>2515</v>
      </c>
      <c r="C42" s="24" t="s">
        <v>139</v>
      </c>
      <c r="D42" s="24" t="s">
        <v>2404</v>
      </c>
      <c r="E42" s="21" t="s">
        <v>34</v>
      </c>
      <c r="F42" s="23">
        <v>43669</v>
      </c>
      <c r="G42" s="23">
        <v>45413</v>
      </c>
      <c r="H42" s="22" t="s">
        <v>2024</v>
      </c>
      <c r="I42" s="21" t="s">
        <v>140</v>
      </c>
      <c r="J42" s="21" t="s">
        <v>36</v>
      </c>
      <c r="K42" s="21" t="s">
        <v>2029</v>
      </c>
      <c r="L42" s="17" t="s">
        <v>141</v>
      </c>
    </row>
    <row r="43" spans="1:12" ht="40.5" customHeight="1">
      <c r="A43" s="24" t="s">
        <v>142</v>
      </c>
      <c r="B43" s="20" t="s">
        <v>2516</v>
      </c>
      <c r="C43" s="24" t="s">
        <v>143</v>
      </c>
      <c r="D43" s="24" t="s">
        <v>2417</v>
      </c>
      <c r="E43" s="21" t="s">
        <v>46</v>
      </c>
      <c r="F43" s="23">
        <v>42851</v>
      </c>
      <c r="G43" s="23">
        <v>45047</v>
      </c>
      <c r="H43" s="22" t="s">
        <v>2025</v>
      </c>
      <c r="I43" s="21" t="s">
        <v>144</v>
      </c>
      <c r="J43" s="21" t="s">
        <v>36</v>
      </c>
      <c r="K43" s="95" t="s">
        <v>2441</v>
      </c>
      <c r="L43" s="17" t="s">
        <v>145</v>
      </c>
    </row>
    <row r="44" spans="1:12" ht="40.5" customHeight="1">
      <c r="A44" s="68" t="s">
        <v>158</v>
      </c>
      <c r="B44" s="20" t="s">
        <v>2516</v>
      </c>
      <c r="C44" s="68" t="s">
        <v>159</v>
      </c>
      <c r="D44" s="68" t="s">
        <v>2417</v>
      </c>
      <c r="E44" s="21" t="s">
        <v>34</v>
      </c>
      <c r="F44" s="23">
        <v>45446</v>
      </c>
      <c r="G44" s="23">
        <v>47272</v>
      </c>
      <c r="H44" s="66" t="s">
        <v>2026</v>
      </c>
      <c r="I44" s="67" t="s">
        <v>160</v>
      </c>
      <c r="J44" s="21" t="s">
        <v>36</v>
      </c>
      <c r="K44" s="95" t="s">
        <v>2441</v>
      </c>
      <c r="L44" s="69" t="s">
        <v>145</v>
      </c>
    </row>
  </sheetData>
  <phoneticPr fontId="43" type="noConversion"/>
  <dataValidations count="1">
    <dataValidation type="list" errorStyle="warning" allowBlank="1" showInputMessage="1" showErrorMessage="1" sqref="E3:E12 E15:E44">
      <formula1>"Previsto, Em execução, Finalizado"</formula1>
    </dataValidation>
  </dataValidations>
  <hyperlinks>
    <hyperlink ref="L34" r:id="rId1"/>
    <hyperlink ref="L33" r:id="rId2" display="https://www.gov.br/icmbio/pt-br/assuntos/biodiversidade/pan/pan-cetaceos-marinhos"/>
    <hyperlink ref="L35" r:id="rId3"/>
    <hyperlink ref="L36" r:id="rId4"/>
    <hyperlink ref="L22" r:id="rId5" display="https://www.gov.br/icmbio/pt-br/assuntos/biodiversidade/pan/pan-corais"/>
    <hyperlink ref="L37" r:id="rId6" display="https://www.gov.br/icmbio/pt-br/assuntos/biodiversidade/pan/pan-herpetofauna-do-sul"/>
    <hyperlink ref="L39" r:id="rId7"/>
    <hyperlink ref="L42" r:id="rId8"/>
    <hyperlink ref="L43" r:id="rId9" display="https://www.gov.br/icmbio/pt-br/assuntos/biodiversidade/pan/pan-primatas-ma-e-preguica-de-coleira"/>
    <hyperlink ref="L38" r:id="rId10"/>
    <hyperlink ref="L3" r:id="rId11"/>
    <hyperlink ref="L4" r:id="rId12"/>
    <hyperlink ref="L6" r:id="rId13"/>
    <hyperlink ref="L7" r:id="rId14"/>
    <hyperlink ref="L8" r:id="rId15"/>
    <hyperlink ref="L9" r:id="rId16"/>
    <hyperlink ref="L10" r:id="rId17"/>
    <hyperlink ref="L12" r:id="rId18"/>
    <hyperlink ref="L13" r:id="rId19"/>
    <hyperlink ref="L14" r:id="rId20"/>
    <hyperlink ref="L15" r:id="rId21"/>
    <hyperlink ref="L20" r:id="rId22"/>
    <hyperlink ref="L19" r:id="rId23"/>
    <hyperlink ref="L29" r:id="rId24"/>
    <hyperlink ref="L27" r:id="rId25"/>
    <hyperlink ref="L32" r:id="rId26"/>
    <hyperlink ref="L44" r:id="rId27"/>
    <hyperlink ref="L5" r:id="rId28"/>
    <hyperlink ref="L21" r:id="rId29" display="https://www.gov.br/icmbio/pt-br/assuntos/biodiversidade/pan/pan-toninha"/>
    <hyperlink ref="L18" r:id="rId30"/>
    <hyperlink ref="L17" r:id="rId31"/>
    <hyperlink ref="L25" r:id="rId32"/>
    <hyperlink ref="L28" r:id="rId33"/>
    <hyperlink ref="L26" r:id="rId34"/>
    <hyperlink ref="L31" r:id="rId35"/>
    <hyperlink ref="L30" r:id="rId36"/>
    <hyperlink ref="L40" r:id="rId37"/>
    <hyperlink ref="L16" r:id="rId38"/>
    <hyperlink ref="L41" r:id="rId39"/>
    <hyperlink ref="L11" r:id="rId40"/>
    <hyperlink ref="L24" r:id="rId41"/>
  </hyperlinks>
  <pageMargins left="0.511811024" right="0.511811024" top="0.78740157499999996" bottom="0.78740157499999996" header="0.31496062000000002" footer="0.31496062000000002"/>
  <pageSetup paperSize="9" orientation="portrait" r:id="rId42"/>
  <tableParts count="1">
    <tablePart r:id="rId43"/>
  </tableParts>
</worksheet>
</file>

<file path=xl/worksheets/sheet5.xml><?xml version="1.0" encoding="utf-8"?>
<worksheet xmlns="http://schemas.openxmlformats.org/spreadsheetml/2006/main" xmlns:r="http://schemas.openxmlformats.org/officeDocument/2006/relationships">
  <sheetPr>
    <tabColor theme="8" tint="-0.249977111117893"/>
  </sheetPr>
  <dimension ref="A1:D1019"/>
  <sheetViews>
    <sheetView showGridLines="0" workbookViewId="0">
      <pane ySplit="2" topLeftCell="A3" activePane="bottomLeft" state="frozen"/>
      <selection pane="bottomLeft" activeCell="A4" sqref="A4"/>
    </sheetView>
  </sheetViews>
  <sheetFormatPr defaultRowHeight="15"/>
  <cols>
    <col min="1" max="1" width="40.140625" customWidth="1"/>
    <col min="2" max="2" width="30.140625" customWidth="1"/>
    <col min="3" max="3" width="20.5703125" customWidth="1"/>
    <col min="4" max="4" width="41.42578125" customWidth="1"/>
  </cols>
  <sheetData>
    <row r="1" spans="1:4" ht="24" customHeight="1">
      <c r="A1" s="194" t="s">
        <v>2408</v>
      </c>
      <c r="B1" s="190"/>
      <c r="C1" s="43"/>
      <c r="D1" s="43"/>
    </row>
    <row r="2" spans="1:4" ht="24" customHeight="1">
      <c r="A2" s="217" t="s">
        <v>575</v>
      </c>
      <c r="B2" s="217" t="s">
        <v>2443</v>
      </c>
      <c r="C2" s="217" t="s">
        <v>2498</v>
      </c>
      <c r="D2" s="218" t="s">
        <v>2332</v>
      </c>
    </row>
    <row r="3" spans="1:4">
      <c r="A3" s="134" t="s">
        <v>1311</v>
      </c>
      <c r="B3" s="189"/>
      <c r="C3" s="134" t="s">
        <v>2540</v>
      </c>
      <c r="D3" s="134" t="s">
        <v>2520</v>
      </c>
    </row>
    <row r="4" spans="1:4">
      <c r="A4" s="134" t="s">
        <v>671</v>
      </c>
      <c r="B4" s="189"/>
      <c r="C4" s="134" t="s">
        <v>2540</v>
      </c>
      <c r="D4" s="134" t="s">
        <v>2520</v>
      </c>
    </row>
    <row r="5" spans="1:4">
      <c r="A5" s="134" t="s">
        <v>1312</v>
      </c>
      <c r="B5" s="189"/>
      <c r="C5" s="134" t="s">
        <v>2540</v>
      </c>
      <c r="D5" s="134" t="s">
        <v>2520</v>
      </c>
    </row>
    <row r="6" spans="1:4">
      <c r="A6" s="134" t="s">
        <v>727</v>
      </c>
      <c r="B6" s="189"/>
      <c r="C6" s="134" t="s">
        <v>2540</v>
      </c>
      <c r="D6" s="134" t="s">
        <v>2520</v>
      </c>
    </row>
    <row r="7" spans="1:4">
      <c r="A7" s="134" t="s">
        <v>1642</v>
      </c>
      <c r="B7" s="189"/>
      <c r="C7" s="189" t="s">
        <v>2542</v>
      </c>
      <c r="D7" s="189" t="s">
        <v>2387</v>
      </c>
    </row>
    <row r="8" spans="1:4">
      <c r="A8" s="134" t="s">
        <v>1643</v>
      </c>
      <c r="B8" s="189"/>
      <c r="C8" s="189" t="s">
        <v>2542</v>
      </c>
      <c r="D8" s="189" t="s">
        <v>2387</v>
      </c>
    </row>
    <row r="9" spans="1:4">
      <c r="A9" s="134" t="s">
        <v>2382</v>
      </c>
      <c r="B9" s="189"/>
      <c r="C9" s="189" t="s">
        <v>2542</v>
      </c>
      <c r="D9" s="189" t="s">
        <v>2387</v>
      </c>
    </row>
    <row r="10" spans="1:4">
      <c r="A10" s="134" t="s">
        <v>2381</v>
      </c>
      <c r="B10" s="189"/>
      <c r="C10" s="189" t="s">
        <v>2542</v>
      </c>
      <c r="D10" s="189" t="s">
        <v>2387</v>
      </c>
    </row>
    <row r="11" spans="1:4">
      <c r="A11" s="134" t="s">
        <v>1644</v>
      </c>
      <c r="B11" s="189"/>
      <c r="C11" s="189" t="s">
        <v>2542</v>
      </c>
      <c r="D11" s="189" t="s">
        <v>2387</v>
      </c>
    </row>
    <row r="12" spans="1:4">
      <c r="A12" s="134" t="s">
        <v>1645</v>
      </c>
      <c r="B12" s="189"/>
      <c r="C12" s="189" t="s">
        <v>2542</v>
      </c>
      <c r="D12" s="189" t="s">
        <v>2387</v>
      </c>
    </row>
    <row r="13" spans="1:4">
      <c r="A13" s="129" t="s">
        <v>1646</v>
      </c>
      <c r="B13" s="129"/>
      <c r="C13" s="189" t="s">
        <v>2542</v>
      </c>
      <c r="D13" s="189" t="s">
        <v>2387</v>
      </c>
    </row>
    <row r="14" spans="1:4">
      <c r="A14" s="134" t="s">
        <v>1647</v>
      </c>
      <c r="B14" s="189"/>
      <c r="C14" s="189" t="s">
        <v>2542</v>
      </c>
      <c r="D14" s="189" t="s">
        <v>2387</v>
      </c>
    </row>
    <row r="15" spans="1:4">
      <c r="A15" s="134" t="s">
        <v>2385</v>
      </c>
      <c r="B15" s="189"/>
      <c r="C15" s="189" t="s">
        <v>2542</v>
      </c>
      <c r="D15" s="189" t="s">
        <v>2387</v>
      </c>
    </row>
    <row r="16" spans="1:4">
      <c r="A16" s="134" t="s">
        <v>1648</v>
      </c>
      <c r="B16" s="189"/>
      <c r="C16" s="189" t="s">
        <v>2542</v>
      </c>
      <c r="D16" s="189" t="s">
        <v>2387</v>
      </c>
    </row>
    <row r="17" spans="1:4">
      <c r="A17" s="134" t="s">
        <v>2383</v>
      </c>
      <c r="B17" s="189"/>
      <c r="C17" s="189" t="s">
        <v>2542</v>
      </c>
      <c r="D17" s="189" t="s">
        <v>2387</v>
      </c>
    </row>
    <row r="18" spans="1:4">
      <c r="A18" s="134" t="s">
        <v>1649</v>
      </c>
      <c r="B18" s="189"/>
      <c r="C18" s="189" t="s">
        <v>2542</v>
      </c>
      <c r="D18" s="189" t="s">
        <v>2387</v>
      </c>
    </row>
    <row r="19" spans="1:4">
      <c r="A19" s="134" t="s">
        <v>1650</v>
      </c>
      <c r="B19" s="189"/>
      <c r="C19" s="189" t="s">
        <v>2542</v>
      </c>
      <c r="D19" s="189" t="s">
        <v>2387</v>
      </c>
    </row>
    <row r="20" spans="1:4">
      <c r="A20" s="134" t="s">
        <v>2386</v>
      </c>
      <c r="B20" s="189"/>
      <c r="C20" s="189" t="s">
        <v>2542</v>
      </c>
      <c r="D20" s="189" t="s">
        <v>2387</v>
      </c>
    </row>
    <row r="21" spans="1:4">
      <c r="A21" s="189" t="s">
        <v>2380</v>
      </c>
      <c r="B21" s="189"/>
      <c r="C21" s="189" t="s">
        <v>2542</v>
      </c>
      <c r="D21" s="189" t="s">
        <v>2387</v>
      </c>
    </row>
    <row r="22" spans="1:4">
      <c r="A22" s="189" t="s">
        <v>1651</v>
      </c>
      <c r="B22" s="189"/>
      <c r="C22" s="189" t="s">
        <v>2542</v>
      </c>
      <c r="D22" s="189" t="s">
        <v>2387</v>
      </c>
    </row>
    <row r="23" spans="1:4">
      <c r="A23" s="134" t="s">
        <v>1652</v>
      </c>
      <c r="B23" s="189"/>
      <c r="C23" s="189" t="s">
        <v>2542</v>
      </c>
      <c r="D23" s="189" t="s">
        <v>2387</v>
      </c>
    </row>
    <row r="24" spans="1:4">
      <c r="A24" s="134" t="s">
        <v>1653</v>
      </c>
      <c r="B24" s="189"/>
      <c r="C24" s="189" t="s">
        <v>2542</v>
      </c>
      <c r="D24" s="189" t="s">
        <v>2387</v>
      </c>
    </row>
    <row r="25" spans="1:4">
      <c r="A25" s="134" t="s">
        <v>2384</v>
      </c>
      <c r="B25" s="189"/>
      <c r="C25" s="189" t="s">
        <v>2542</v>
      </c>
      <c r="D25" s="189" t="s">
        <v>2387</v>
      </c>
    </row>
    <row r="26" spans="1:4">
      <c r="A26" s="134" t="s">
        <v>632</v>
      </c>
      <c r="B26" s="189"/>
      <c r="C26" s="189" t="s">
        <v>2542</v>
      </c>
      <c r="D26" s="189" t="s">
        <v>2387</v>
      </c>
    </row>
    <row r="27" spans="1:4">
      <c r="A27" s="134" t="s">
        <v>1654</v>
      </c>
      <c r="B27" s="189"/>
      <c r="C27" s="189" t="s">
        <v>2542</v>
      </c>
      <c r="D27" s="189" t="s">
        <v>2387</v>
      </c>
    </row>
    <row r="28" spans="1:4">
      <c r="A28" s="129" t="s">
        <v>1383</v>
      </c>
      <c r="B28" s="129"/>
      <c r="C28" s="129" t="s">
        <v>2335</v>
      </c>
      <c r="D28" s="129" t="s">
        <v>2521</v>
      </c>
    </row>
    <row r="29" spans="1:4">
      <c r="A29" s="134" t="s">
        <v>2340</v>
      </c>
      <c r="B29" s="189"/>
      <c r="C29" s="189" t="s">
        <v>2335</v>
      </c>
      <c r="D29" s="129" t="s">
        <v>2521</v>
      </c>
    </row>
    <row r="30" spans="1:4">
      <c r="A30" s="134" t="s">
        <v>2343</v>
      </c>
      <c r="B30" s="189"/>
      <c r="C30" s="189" t="s">
        <v>2335</v>
      </c>
      <c r="D30" s="129" t="s">
        <v>2521</v>
      </c>
    </row>
    <row r="31" spans="1:4">
      <c r="A31" s="134" t="s">
        <v>2341</v>
      </c>
      <c r="B31" s="189"/>
      <c r="C31" s="189" t="s">
        <v>2335</v>
      </c>
      <c r="D31" s="129" t="s">
        <v>2521</v>
      </c>
    </row>
    <row r="32" spans="1:4">
      <c r="A32" s="134" t="s">
        <v>2342</v>
      </c>
      <c r="B32" s="189"/>
      <c r="C32" s="189" t="s">
        <v>2335</v>
      </c>
      <c r="D32" s="129" t="s">
        <v>2521</v>
      </c>
    </row>
    <row r="33" spans="1:4">
      <c r="A33" s="134" t="s">
        <v>2344</v>
      </c>
      <c r="B33" s="189"/>
      <c r="C33" s="189" t="s">
        <v>2335</v>
      </c>
      <c r="D33" s="129" t="s">
        <v>2521</v>
      </c>
    </row>
    <row r="34" spans="1:4">
      <c r="A34" s="134" t="s">
        <v>2336</v>
      </c>
      <c r="B34" s="189"/>
      <c r="C34" s="189" t="s">
        <v>2335</v>
      </c>
      <c r="D34" s="129" t="s">
        <v>2521</v>
      </c>
    </row>
    <row r="35" spans="1:4">
      <c r="A35" s="134" t="s">
        <v>2337</v>
      </c>
      <c r="B35" s="189"/>
      <c r="C35" s="189" t="s">
        <v>2335</v>
      </c>
      <c r="D35" s="129" t="s">
        <v>2521</v>
      </c>
    </row>
    <row r="36" spans="1:4">
      <c r="A36" s="134" t="s">
        <v>2338</v>
      </c>
      <c r="B36" s="189"/>
      <c r="C36" s="189" t="s">
        <v>2335</v>
      </c>
      <c r="D36" s="129" t="s">
        <v>2521</v>
      </c>
    </row>
    <row r="37" spans="1:4">
      <c r="A37" s="134" t="s">
        <v>2339</v>
      </c>
      <c r="B37" s="189"/>
      <c r="C37" s="189" t="s">
        <v>2335</v>
      </c>
      <c r="D37" s="129" t="s">
        <v>2521</v>
      </c>
    </row>
    <row r="38" spans="1:4">
      <c r="A38" s="134" t="s">
        <v>717</v>
      </c>
      <c r="B38" s="189"/>
      <c r="C38" s="134" t="s">
        <v>2335</v>
      </c>
      <c r="D38" s="129" t="s">
        <v>2521</v>
      </c>
    </row>
    <row r="39" spans="1:4">
      <c r="A39" s="134" t="s">
        <v>2362</v>
      </c>
      <c r="B39" s="189"/>
      <c r="C39" s="134" t="s">
        <v>101</v>
      </c>
      <c r="D39" s="134" t="s">
        <v>2522</v>
      </c>
    </row>
    <row r="40" spans="1:4">
      <c r="A40" s="134" t="s">
        <v>1708</v>
      </c>
      <c r="B40" s="189"/>
      <c r="C40" s="189" t="s">
        <v>101</v>
      </c>
      <c r="D40" s="134" t="s">
        <v>2522</v>
      </c>
    </row>
    <row r="41" spans="1:4">
      <c r="A41" s="134" t="s">
        <v>754</v>
      </c>
      <c r="B41" s="189"/>
      <c r="C41" s="189" t="s">
        <v>101</v>
      </c>
      <c r="D41" s="134" t="s">
        <v>2522</v>
      </c>
    </row>
    <row r="42" spans="1:4">
      <c r="A42" s="134" t="s">
        <v>755</v>
      </c>
      <c r="B42" s="189"/>
      <c r="C42" s="189" t="s">
        <v>101</v>
      </c>
      <c r="D42" s="134" t="s">
        <v>2522</v>
      </c>
    </row>
    <row r="43" spans="1:4">
      <c r="A43" s="134" t="s">
        <v>2357</v>
      </c>
      <c r="B43" s="189"/>
      <c r="C43" s="189" t="s">
        <v>101</v>
      </c>
      <c r="D43" s="134" t="s">
        <v>2522</v>
      </c>
    </row>
    <row r="44" spans="1:4">
      <c r="A44" s="134" t="s">
        <v>2365</v>
      </c>
      <c r="B44" s="189"/>
      <c r="C44" s="189" t="s">
        <v>101</v>
      </c>
      <c r="D44" s="134" t="s">
        <v>2522</v>
      </c>
    </row>
    <row r="45" spans="1:4">
      <c r="A45" s="134" t="s">
        <v>2366</v>
      </c>
      <c r="B45" s="189"/>
      <c r="C45" s="189" t="s">
        <v>101</v>
      </c>
      <c r="D45" s="134" t="s">
        <v>2522</v>
      </c>
    </row>
    <row r="46" spans="1:4">
      <c r="A46" s="134" t="s">
        <v>2347</v>
      </c>
      <c r="B46" s="189"/>
      <c r="C46" s="189" t="s">
        <v>101</v>
      </c>
      <c r="D46" s="134" t="s">
        <v>2522</v>
      </c>
    </row>
    <row r="47" spans="1:4">
      <c r="A47" s="134" t="s">
        <v>2348</v>
      </c>
      <c r="B47" s="189"/>
      <c r="C47" s="189" t="s">
        <v>101</v>
      </c>
      <c r="D47" s="134" t="s">
        <v>2522</v>
      </c>
    </row>
    <row r="48" spans="1:4">
      <c r="A48" s="134" t="s">
        <v>1730</v>
      </c>
      <c r="B48" s="189"/>
      <c r="C48" s="189" t="s">
        <v>101</v>
      </c>
      <c r="D48" s="134" t="s">
        <v>2522</v>
      </c>
    </row>
    <row r="49" spans="1:4">
      <c r="A49" s="134" t="s">
        <v>2349</v>
      </c>
      <c r="B49" s="189"/>
      <c r="C49" s="189" t="s">
        <v>101</v>
      </c>
      <c r="D49" s="134" t="s">
        <v>2522</v>
      </c>
    </row>
    <row r="50" spans="1:4">
      <c r="A50" s="134" t="s">
        <v>1732</v>
      </c>
      <c r="B50" s="189"/>
      <c r="C50" s="189" t="s">
        <v>101</v>
      </c>
      <c r="D50" s="134" t="s">
        <v>2522</v>
      </c>
    </row>
    <row r="51" spans="1:4">
      <c r="A51" s="134" t="s">
        <v>2367</v>
      </c>
      <c r="B51" s="189"/>
      <c r="C51" s="189" t="s">
        <v>101</v>
      </c>
      <c r="D51" s="134" t="s">
        <v>2522</v>
      </c>
    </row>
    <row r="52" spans="1:4">
      <c r="A52" s="134" t="s">
        <v>1734</v>
      </c>
      <c r="B52" s="189"/>
      <c r="C52" s="189" t="s">
        <v>101</v>
      </c>
      <c r="D52" s="134" t="s">
        <v>2522</v>
      </c>
    </row>
    <row r="53" spans="1:4">
      <c r="A53" s="134" t="s">
        <v>1736</v>
      </c>
      <c r="B53" s="189"/>
      <c r="C53" s="189" t="s">
        <v>101</v>
      </c>
      <c r="D53" s="134" t="s">
        <v>2522</v>
      </c>
    </row>
    <row r="54" spans="1:4">
      <c r="A54" s="134" t="s">
        <v>2360</v>
      </c>
      <c r="B54" s="189"/>
      <c r="C54" s="189" t="s">
        <v>101</v>
      </c>
      <c r="D54" s="134" t="s">
        <v>2522</v>
      </c>
    </row>
    <row r="55" spans="1:4">
      <c r="A55" s="134" t="s">
        <v>772</v>
      </c>
      <c r="B55" s="189"/>
      <c r="C55" s="189" t="s">
        <v>101</v>
      </c>
      <c r="D55" s="134" t="s">
        <v>2522</v>
      </c>
    </row>
    <row r="56" spans="1:4">
      <c r="A56" s="134" t="s">
        <v>1739</v>
      </c>
      <c r="B56" s="189"/>
      <c r="C56" s="189" t="s">
        <v>101</v>
      </c>
      <c r="D56" s="134" t="s">
        <v>2522</v>
      </c>
    </row>
    <row r="57" spans="1:4">
      <c r="A57" s="134" t="s">
        <v>1747</v>
      </c>
      <c r="B57" s="189"/>
      <c r="C57" s="189" t="s">
        <v>101</v>
      </c>
      <c r="D57" s="134" t="s">
        <v>2522</v>
      </c>
    </row>
    <row r="58" spans="1:4">
      <c r="A58" s="134" t="s">
        <v>2368</v>
      </c>
      <c r="B58" s="189"/>
      <c r="C58" s="189" t="s">
        <v>101</v>
      </c>
      <c r="D58" s="134" t="s">
        <v>2522</v>
      </c>
    </row>
    <row r="59" spans="1:4">
      <c r="A59" s="134" t="s">
        <v>1764</v>
      </c>
      <c r="B59" s="189"/>
      <c r="C59" s="189" t="s">
        <v>101</v>
      </c>
      <c r="D59" s="134" t="s">
        <v>2522</v>
      </c>
    </row>
    <row r="60" spans="1:4">
      <c r="A60" s="134" t="s">
        <v>2375</v>
      </c>
      <c r="B60" s="189"/>
      <c r="C60" s="189" t="s">
        <v>101</v>
      </c>
      <c r="D60" s="134" t="s">
        <v>2522</v>
      </c>
    </row>
    <row r="61" spans="1:4">
      <c r="A61" s="134" t="s">
        <v>753</v>
      </c>
      <c r="B61" s="189"/>
      <c r="C61" s="189" t="s">
        <v>101</v>
      </c>
      <c r="D61" s="134" t="s">
        <v>2522</v>
      </c>
    </row>
    <row r="62" spans="1:4">
      <c r="A62" s="134" t="s">
        <v>2369</v>
      </c>
      <c r="B62" s="189"/>
      <c r="C62" s="189" t="s">
        <v>101</v>
      </c>
      <c r="D62" s="134" t="s">
        <v>2522</v>
      </c>
    </row>
    <row r="63" spans="1:4">
      <c r="A63" s="134" t="s">
        <v>2370</v>
      </c>
      <c r="B63" s="189"/>
      <c r="C63" s="189" t="s">
        <v>101</v>
      </c>
      <c r="D63" s="134" t="s">
        <v>2522</v>
      </c>
    </row>
    <row r="64" spans="1:4">
      <c r="A64" s="134" t="s">
        <v>2350</v>
      </c>
      <c r="B64" s="189"/>
      <c r="C64" s="189" t="s">
        <v>101</v>
      </c>
      <c r="D64" s="134" t="s">
        <v>2522</v>
      </c>
    </row>
    <row r="65" spans="1:4">
      <c r="A65" s="189" t="s">
        <v>2356</v>
      </c>
      <c r="B65" s="189"/>
      <c r="C65" s="189" t="s">
        <v>101</v>
      </c>
      <c r="D65" s="134" t="s">
        <v>2522</v>
      </c>
    </row>
    <row r="66" spans="1:4">
      <c r="A66" s="134" t="s">
        <v>2376</v>
      </c>
      <c r="B66" s="189"/>
      <c r="C66" s="189" t="s">
        <v>101</v>
      </c>
      <c r="D66" s="134" t="s">
        <v>2522</v>
      </c>
    </row>
    <row r="67" spans="1:4">
      <c r="A67" s="134" t="s">
        <v>1795</v>
      </c>
      <c r="B67" s="189"/>
      <c r="C67" s="189" t="s">
        <v>101</v>
      </c>
      <c r="D67" s="134" t="s">
        <v>2522</v>
      </c>
    </row>
    <row r="68" spans="1:4">
      <c r="A68" s="134" t="s">
        <v>2371</v>
      </c>
      <c r="B68" s="189"/>
      <c r="C68" s="189" t="s">
        <v>101</v>
      </c>
      <c r="D68" s="134" t="s">
        <v>2522</v>
      </c>
    </row>
    <row r="69" spans="1:4">
      <c r="A69" s="134" t="s">
        <v>2372</v>
      </c>
      <c r="B69" s="189"/>
      <c r="C69" s="189" t="s">
        <v>101</v>
      </c>
      <c r="D69" s="134" t="s">
        <v>2522</v>
      </c>
    </row>
    <row r="70" spans="1:4">
      <c r="A70" s="134" t="s">
        <v>2373</v>
      </c>
      <c r="B70" s="189"/>
      <c r="C70" s="189" t="s">
        <v>101</v>
      </c>
      <c r="D70" s="134" t="s">
        <v>2522</v>
      </c>
    </row>
    <row r="71" spans="1:4">
      <c r="A71" s="134" t="s">
        <v>1798</v>
      </c>
      <c r="B71" s="189"/>
      <c r="C71" s="189" t="s">
        <v>101</v>
      </c>
      <c r="D71" s="134" t="s">
        <v>2522</v>
      </c>
    </row>
    <row r="72" spans="1:4">
      <c r="A72" s="134" t="s">
        <v>1800</v>
      </c>
      <c r="B72" s="189"/>
      <c r="C72" s="189" t="s">
        <v>101</v>
      </c>
      <c r="D72" s="134" t="s">
        <v>2522</v>
      </c>
    </row>
    <row r="73" spans="1:4">
      <c r="A73" s="134" t="s">
        <v>741</v>
      </c>
      <c r="B73" s="189"/>
      <c r="C73" s="189" t="s">
        <v>101</v>
      </c>
      <c r="D73" s="134" t="s">
        <v>2522</v>
      </c>
    </row>
    <row r="74" spans="1:4">
      <c r="A74" s="134" t="s">
        <v>2363</v>
      </c>
      <c r="B74" s="189"/>
      <c r="C74" s="189" t="s">
        <v>101</v>
      </c>
      <c r="D74" s="134" t="s">
        <v>2522</v>
      </c>
    </row>
    <row r="75" spans="1:4">
      <c r="A75" s="134" t="s">
        <v>1809</v>
      </c>
      <c r="B75" s="189"/>
      <c r="C75" s="189" t="s">
        <v>101</v>
      </c>
      <c r="D75" s="134" t="s">
        <v>2522</v>
      </c>
    </row>
    <row r="76" spans="1:4">
      <c r="A76" s="134" t="s">
        <v>1811</v>
      </c>
      <c r="B76" s="189"/>
      <c r="C76" s="189" t="s">
        <v>101</v>
      </c>
      <c r="D76" s="134" t="s">
        <v>2522</v>
      </c>
    </row>
    <row r="77" spans="1:4">
      <c r="A77" s="134" t="s">
        <v>764</v>
      </c>
      <c r="B77" s="189"/>
      <c r="C77" s="189" t="s">
        <v>101</v>
      </c>
      <c r="D77" s="134" t="s">
        <v>2522</v>
      </c>
    </row>
    <row r="78" spans="1:4">
      <c r="A78" s="134" t="s">
        <v>2361</v>
      </c>
      <c r="B78" s="189"/>
      <c r="C78" s="189" t="s">
        <v>101</v>
      </c>
      <c r="D78" s="134" t="s">
        <v>2522</v>
      </c>
    </row>
    <row r="79" spans="1:4">
      <c r="A79" s="134" t="s">
        <v>1815</v>
      </c>
      <c r="B79" s="189"/>
      <c r="C79" s="189" t="s">
        <v>101</v>
      </c>
      <c r="D79" s="134" t="s">
        <v>2522</v>
      </c>
    </row>
    <row r="80" spans="1:4">
      <c r="A80" s="134" t="s">
        <v>2358</v>
      </c>
      <c r="B80" s="189"/>
      <c r="C80" s="189" t="s">
        <v>101</v>
      </c>
      <c r="D80" s="134" t="s">
        <v>2522</v>
      </c>
    </row>
    <row r="81" spans="1:4">
      <c r="A81" s="134" t="s">
        <v>2359</v>
      </c>
      <c r="B81" s="189"/>
      <c r="C81" s="189" t="s">
        <v>101</v>
      </c>
      <c r="D81" s="134" t="s">
        <v>2522</v>
      </c>
    </row>
    <row r="82" spans="1:4">
      <c r="A82" s="134" t="s">
        <v>759</v>
      </c>
      <c r="B82" s="189"/>
      <c r="C82" s="189" t="s">
        <v>101</v>
      </c>
      <c r="D82" s="134" t="s">
        <v>2522</v>
      </c>
    </row>
    <row r="83" spans="1:4">
      <c r="A83" s="134" t="s">
        <v>1834</v>
      </c>
      <c r="B83" s="189"/>
      <c r="C83" s="189" t="s">
        <v>101</v>
      </c>
      <c r="D83" s="134" t="s">
        <v>2522</v>
      </c>
    </row>
    <row r="84" spans="1:4">
      <c r="A84" s="134" t="s">
        <v>776</v>
      </c>
      <c r="B84" s="189"/>
      <c r="C84" s="189" t="s">
        <v>101</v>
      </c>
      <c r="D84" s="134" t="s">
        <v>2522</v>
      </c>
    </row>
    <row r="85" spans="1:4">
      <c r="A85" s="134" t="s">
        <v>1840</v>
      </c>
      <c r="B85" s="189"/>
      <c r="C85" s="189" t="s">
        <v>101</v>
      </c>
      <c r="D85" s="134" t="s">
        <v>2522</v>
      </c>
    </row>
    <row r="86" spans="1:4">
      <c r="A86" s="134" t="s">
        <v>756</v>
      </c>
      <c r="B86" s="189"/>
      <c r="C86" s="189" t="s">
        <v>101</v>
      </c>
      <c r="D86" s="134" t="s">
        <v>2522</v>
      </c>
    </row>
    <row r="87" spans="1:4">
      <c r="A87" s="134" t="s">
        <v>2351</v>
      </c>
      <c r="B87" s="189"/>
      <c r="C87" s="189" t="s">
        <v>101</v>
      </c>
      <c r="D87" s="134" t="s">
        <v>2522</v>
      </c>
    </row>
    <row r="88" spans="1:4">
      <c r="A88" s="134" t="s">
        <v>774</v>
      </c>
      <c r="B88" s="189"/>
      <c r="C88" s="189" t="s">
        <v>101</v>
      </c>
      <c r="D88" s="134" t="s">
        <v>2522</v>
      </c>
    </row>
    <row r="89" spans="1:4">
      <c r="A89" s="134" t="s">
        <v>2352</v>
      </c>
      <c r="B89" s="189"/>
      <c r="C89" s="189" t="s">
        <v>101</v>
      </c>
      <c r="D89" s="134" t="s">
        <v>2522</v>
      </c>
    </row>
    <row r="90" spans="1:4">
      <c r="A90" s="134" t="s">
        <v>2353</v>
      </c>
      <c r="B90" s="189"/>
      <c r="C90" s="189" t="s">
        <v>101</v>
      </c>
      <c r="D90" s="134" t="s">
        <v>2522</v>
      </c>
    </row>
    <row r="91" spans="1:4">
      <c r="A91" s="134" t="s">
        <v>2354</v>
      </c>
      <c r="B91" s="189"/>
      <c r="C91" s="189" t="s">
        <v>101</v>
      </c>
      <c r="D91" s="134" t="s">
        <v>2522</v>
      </c>
    </row>
    <row r="92" spans="1:4">
      <c r="A92" s="134" t="s">
        <v>2355</v>
      </c>
      <c r="B92" s="189"/>
      <c r="C92" s="189" t="s">
        <v>101</v>
      </c>
      <c r="D92" s="134" t="s">
        <v>2522</v>
      </c>
    </row>
    <row r="93" spans="1:4">
      <c r="A93" s="134" t="s">
        <v>1849</v>
      </c>
      <c r="B93" s="189"/>
      <c r="C93" s="189" t="s">
        <v>101</v>
      </c>
      <c r="D93" s="134" t="s">
        <v>2522</v>
      </c>
    </row>
    <row r="94" spans="1:4">
      <c r="A94" s="134" t="s">
        <v>1857</v>
      </c>
      <c r="B94" s="189"/>
      <c r="C94" s="189" t="s">
        <v>101</v>
      </c>
      <c r="D94" s="134" t="s">
        <v>2522</v>
      </c>
    </row>
    <row r="95" spans="1:4">
      <c r="A95" s="134" t="s">
        <v>761</v>
      </c>
      <c r="B95" s="189"/>
      <c r="C95" s="189" t="s">
        <v>101</v>
      </c>
      <c r="D95" s="134" t="s">
        <v>2522</v>
      </c>
    </row>
    <row r="96" spans="1:4">
      <c r="A96" s="134" t="s">
        <v>773</v>
      </c>
      <c r="B96" s="189"/>
      <c r="C96" s="189" t="s">
        <v>101</v>
      </c>
      <c r="D96" s="134" t="s">
        <v>2522</v>
      </c>
    </row>
    <row r="97" spans="1:4">
      <c r="A97" s="134" t="s">
        <v>757</v>
      </c>
      <c r="B97" s="189"/>
      <c r="C97" s="189" t="s">
        <v>101</v>
      </c>
      <c r="D97" s="134" t="s">
        <v>2522</v>
      </c>
    </row>
    <row r="98" spans="1:4">
      <c r="A98" s="134" t="s">
        <v>758</v>
      </c>
      <c r="B98" s="189"/>
      <c r="C98" s="189" t="s">
        <v>101</v>
      </c>
      <c r="D98" s="134" t="s">
        <v>2522</v>
      </c>
    </row>
    <row r="99" spans="1:4">
      <c r="A99" s="134" t="s">
        <v>2364</v>
      </c>
      <c r="B99" s="189"/>
      <c r="C99" s="189" t="s">
        <v>101</v>
      </c>
      <c r="D99" s="134" t="s">
        <v>2522</v>
      </c>
    </row>
    <row r="100" spans="1:4">
      <c r="A100" s="134" t="s">
        <v>2374</v>
      </c>
      <c r="B100" s="189"/>
      <c r="C100" s="189" t="s">
        <v>101</v>
      </c>
      <c r="D100" s="134" t="s">
        <v>2522</v>
      </c>
    </row>
    <row r="101" spans="1:4">
      <c r="A101" s="134" t="s">
        <v>760</v>
      </c>
      <c r="B101" s="189"/>
      <c r="C101" s="189" t="s">
        <v>101</v>
      </c>
      <c r="D101" s="134" t="s">
        <v>2522</v>
      </c>
    </row>
    <row r="102" spans="1:4">
      <c r="A102" s="129" t="s">
        <v>767</v>
      </c>
      <c r="B102" s="129"/>
      <c r="C102" s="129" t="s">
        <v>155</v>
      </c>
      <c r="D102" s="129" t="s">
        <v>156</v>
      </c>
    </row>
    <row r="103" spans="1:4">
      <c r="A103" s="129" t="s">
        <v>1135</v>
      </c>
      <c r="B103" s="129"/>
      <c r="C103" s="129" t="s">
        <v>155</v>
      </c>
      <c r="D103" s="129" t="s">
        <v>156</v>
      </c>
    </row>
    <row r="104" spans="1:4">
      <c r="A104" s="129" t="s">
        <v>768</v>
      </c>
      <c r="B104" s="129"/>
      <c r="C104" s="129" t="s">
        <v>155</v>
      </c>
      <c r="D104" s="129" t="s">
        <v>156</v>
      </c>
    </row>
    <row r="105" spans="1:4">
      <c r="A105" s="129" t="s">
        <v>2482</v>
      </c>
      <c r="B105" s="129"/>
      <c r="C105" s="129" t="s">
        <v>155</v>
      </c>
      <c r="D105" s="129" t="s">
        <v>156</v>
      </c>
    </row>
    <row r="106" spans="1:4">
      <c r="A106" s="129" t="s">
        <v>765</v>
      </c>
      <c r="B106" s="129"/>
      <c r="C106" s="129" t="s">
        <v>155</v>
      </c>
      <c r="D106" s="129" t="s">
        <v>156</v>
      </c>
    </row>
    <row r="107" spans="1:4">
      <c r="A107" s="129" t="s">
        <v>1136</v>
      </c>
      <c r="B107" s="129"/>
      <c r="C107" s="129" t="s">
        <v>155</v>
      </c>
      <c r="D107" s="129" t="s">
        <v>156</v>
      </c>
    </row>
    <row r="108" spans="1:4">
      <c r="A108" s="129" t="s">
        <v>766</v>
      </c>
      <c r="B108" s="129"/>
      <c r="C108" s="129" t="s">
        <v>155</v>
      </c>
      <c r="D108" s="129" t="s">
        <v>156</v>
      </c>
    </row>
    <row r="109" spans="1:4">
      <c r="A109" s="129" t="s">
        <v>1607</v>
      </c>
      <c r="B109" s="129"/>
      <c r="C109" s="129" t="s">
        <v>117</v>
      </c>
      <c r="D109" s="129" t="s">
        <v>118</v>
      </c>
    </row>
    <row r="110" spans="1:4">
      <c r="A110" s="129" t="s">
        <v>601</v>
      </c>
      <c r="B110" s="129"/>
      <c r="C110" s="129" t="s">
        <v>117</v>
      </c>
      <c r="D110" s="129" t="s">
        <v>118</v>
      </c>
    </row>
    <row r="111" spans="1:4">
      <c r="A111" s="129" t="s">
        <v>1610</v>
      </c>
      <c r="B111" s="129"/>
      <c r="C111" s="129" t="s">
        <v>117</v>
      </c>
      <c r="D111" s="129" t="s">
        <v>118</v>
      </c>
    </row>
    <row r="112" spans="1:4">
      <c r="A112" s="129" t="s">
        <v>1388</v>
      </c>
      <c r="B112" s="129"/>
      <c r="C112" s="129" t="s">
        <v>117</v>
      </c>
      <c r="D112" s="129" t="s">
        <v>118</v>
      </c>
    </row>
    <row r="113" spans="1:4">
      <c r="A113" s="129" t="s">
        <v>1611</v>
      </c>
      <c r="B113" s="129"/>
      <c r="C113" s="129" t="s">
        <v>117</v>
      </c>
      <c r="D113" s="129" t="s">
        <v>118</v>
      </c>
    </row>
    <row r="114" spans="1:4">
      <c r="A114" s="129" t="s">
        <v>1392</v>
      </c>
      <c r="B114" s="129"/>
      <c r="C114" s="129" t="s">
        <v>117</v>
      </c>
      <c r="D114" s="129" t="s">
        <v>118</v>
      </c>
    </row>
    <row r="115" spans="1:4">
      <c r="A115" s="129" t="s">
        <v>1612</v>
      </c>
      <c r="B115" s="129"/>
      <c r="C115" s="129" t="s">
        <v>117</v>
      </c>
      <c r="D115" s="129" t="s">
        <v>118</v>
      </c>
    </row>
    <row r="116" spans="1:4">
      <c r="A116" s="129" t="s">
        <v>1613</v>
      </c>
      <c r="B116" s="129"/>
      <c r="C116" s="129" t="s">
        <v>117</v>
      </c>
      <c r="D116" s="129" t="s">
        <v>118</v>
      </c>
    </row>
    <row r="117" spans="1:4">
      <c r="A117" s="129" t="s">
        <v>1400</v>
      </c>
      <c r="B117" s="129"/>
      <c r="C117" s="129" t="s">
        <v>117</v>
      </c>
      <c r="D117" s="129" t="s">
        <v>118</v>
      </c>
    </row>
    <row r="118" spans="1:4">
      <c r="A118" s="129" t="s">
        <v>1614</v>
      </c>
      <c r="B118" s="129"/>
      <c r="C118" s="129" t="s">
        <v>117</v>
      </c>
      <c r="D118" s="129" t="s">
        <v>118</v>
      </c>
    </row>
    <row r="119" spans="1:4">
      <c r="A119" s="129" t="s">
        <v>1615</v>
      </c>
      <c r="B119" s="129"/>
      <c r="C119" s="129" t="s">
        <v>117</v>
      </c>
      <c r="D119" s="129" t="s">
        <v>118</v>
      </c>
    </row>
    <row r="120" spans="1:4">
      <c r="A120" s="129" t="s">
        <v>1616</v>
      </c>
      <c r="B120" s="129"/>
      <c r="C120" s="129" t="s">
        <v>117</v>
      </c>
      <c r="D120" s="129" t="s">
        <v>118</v>
      </c>
    </row>
    <row r="121" spans="1:4">
      <c r="A121" s="129" t="s">
        <v>1406</v>
      </c>
      <c r="B121" s="129"/>
      <c r="C121" s="129" t="s">
        <v>117</v>
      </c>
      <c r="D121" s="129" t="s">
        <v>118</v>
      </c>
    </row>
    <row r="122" spans="1:4">
      <c r="A122" s="129" t="s">
        <v>1617</v>
      </c>
      <c r="B122" s="129"/>
      <c r="C122" s="129" t="s">
        <v>117</v>
      </c>
      <c r="D122" s="129" t="s">
        <v>118</v>
      </c>
    </row>
    <row r="123" spans="1:4">
      <c r="A123" s="129" t="s">
        <v>1618</v>
      </c>
      <c r="B123" s="129"/>
      <c r="C123" s="129" t="s">
        <v>117</v>
      </c>
      <c r="D123" s="129" t="s">
        <v>118</v>
      </c>
    </row>
    <row r="124" spans="1:4">
      <c r="A124" s="129" t="s">
        <v>1619</v>
      </c>
      <c r="B124" s="129"/>
      <c r="C124" s="129" t="s">
        <v>117</v>
      </c>
      <c r="D124" s="129" t="s">
        <v>118</v>
      </c>
    </row>
    <row r="125" spans="1:4">
      <c r="A125" s="129" t="s">
        <v>1410</v>
      </c>
      <c r="B125" s="129"/>
      <c r="C125" s="129" t="s">
        <v>117</v>
      </c>
      <c r="D125" s="129" t="s">
        <v>118</v>
      </c>
    </row>
    <row r="126" spans="1:4">
      <c r="A126" s="129" t="s">
        <v>1424</v>
      </c>
      <c r="B126" s="129"/>
      <c r="C126" s="129" t="s">
        <v>117</v>
      </c>
      <c r="D126" s="129" t="s">
        <v>118</v>
      </c>
    </row>
    <row r="127" spans="1:4">
      <c r="A127" s="129" t="s">
        <v>1620</v>
      </c>
      <c r="B127" s="129"/>
      <c r="C127" s="129" t="s">
        <v>117</v>
      </c>
      <c r="D127" s="129" t="s">
        <v>118</v>
      </c>
    </row>
    <row r="128" spans="1:4">
      <c r="A128" s="129" t="s">
        <v>1427</v>
      </c>
      <c r="B128" s="129"/>
      <c r="C128" s="129" t="s">
        <v>117</v>
      </c>
      <c r="D128" s="129" t="s">
        <v>118</v>
      </c>
    </row>
    <row r="129" spans="1:4">
      <c r="A129" s="129" t="s">
        <v>1621</v>
      </c>
      <c r="B129" s="129"/>
      <c r="C129" s="129" t="s">
        <v>117</v>
      </c>
      <c r="D129" s="129" t="s">
        <v>118</v>
      </c>
    </row>
    <row r="130" spans="1:4">
      <c r="A130" s="129" t="s">
        <v>1622</v>
      </c>
      <c r="B130" s="129"/>
      <c r="C130" s="129" t="s">
        <v>117</v>
      </c>
      <c r="D130" s="129" t="s">
        <v>118</v>
      </c>
    </row>
    <row r="131" spans="1:4">
      <c r="A131" s="129" t="s">
        <v>1623</v>
      </c>
      <c r="B131" s="129"/>
      <c r="C131" s="129" t="s">
        <v>117</v>
      </c>
      <c r="D131" s="129" t="s">
        <v>118</v>
      </c>
    </row>
    <row r="132" spans="1:4">
      <c r="A132" s="129" t="s">
        <v>1624</v>
      </c>
      <c r="B132" s="129"/>
      <c r="C132" s="129" t="s">
        <v>117</v>
      </c>
      <c r="D132" s="129" t="s">
        <v>118</v>
      </c>
    </row>
    <row r="133" spans="1:4">
      <c r="A133" s="129" t="s">
        <v>1608</v>
      </c>
      <c r="B133" s="129"/>
      <c r="C133" s="129" t="s">
        <v>117</v>
      </c>
      <c r="D133" s="129" t="s">
        <v>118</v>
      </c>
    </row>
    <row r="134" spans="1:4">
      <c r="A134" s="129" t="s">
        <v>1436</v>
      </c>
      <c r="B134" s="129"/>
      <c r="C134" s="129" t="s">
        <v>117</v>
      </c>
      <c r="D134" s="129" t="s">
        <v>118</v>
      </c>
    </row>
    <row r="135" spans="1:4">
      <c r="A135" s="129" t="s">
        <v>1609</v>
      </c>
      <c r="B135" s="129"/>
      <c r="C135" s="129" t="s">
        <v>117</v>
      </c>
      <c r="D135" s="129" t="s">
        <v>118</v>
      </c>
    </row>
    <row r="136" spans="1:4">
      <c r="A136" s="129" t="s">
        <v>1625</v>
      </c>
      <c r="B136" s="129"/>
      <c r="C136" s="129" t="s">
        <v>117</v>
      </c>
      <c r="D136" s="129" t="s">
        <v>118</v>
      </c>
    </row>
    <row r="137" spans="1:4">
      <c r="A137" s="129" t="s">
        <v>1626</v>
      </c>
      <c r="B137" s="129"/>
      <c r="C137" s="129" t="s">
        <v>117</v>
      </c>
      <c r="D137" s="129" t="s">
        <v>118</v>
      </c>
    </row>
    <row r="138" spans="1:4">
      <c r="A138" s="129" t="s">
        <v>1627</v>
      </c>
      <c r="B138" s="129"/>
      <c r="C138" s="129" t="s">
        <v>117</v>
      </c>
      <c r="D138" s="129" t="s">
        <v>118</v>
      </c>
    </row>
    <row r="139" spans="1:4">
      <c r="A139" s="129" t="s">
        <v>1444</v>
      </c>
      <c r="B139" s="129"/>
      <c r="C139" s="129" t="s">
        <v>117</v>
      </c>
      <c r="D139" s="129" t="s">
        <v>118</v>
      </c>
    </row>
    <row r="140" spans="1:4">
      <c r="A140" s="129" t="s">
        <v>1628</v>
      </c>
      <c r="B140" s="129"/>
      <c r="C140" s="129" t="s">
        <v>117</v>
      </c>
      <c r="D140" s="129" t="s">
        <v>118</v>
      </c>
    </row>
    <row r="141" spans="1:4">
      <c r="A141" s="129" t="s">
        <v>707</v>
      </c>
      <c r="B141" s="129"/>
      <c r="C141" s="129" t="s">
        <v>117</v>
      </c>
      <c r="D141" s="129" t="s">
        <v>118</v>
      </c>
    </row>
    <row r="142" spans="1:4">
      <c r="A142" s="129" t="s">
        <v>1629</v>
      </c>
      <c r="B142" s="129"/>
      <c r="C142" s="129" t="s">
        <v>117</v>
      </c>
      <c r="D142" s="129" t="s">
        <v>118</v>
      </c>
    </row>
    <row r="143" spans="1:4">
      <c r="A143" s="129" t="s">
        <v>1630</v>
      </c>
      <c r="B143" s="129"/>
      <c r="C143" s="129" t="s">
        <v>117</v>
      </c>
      <c r="D143" s="129" t="s">
        <v>118</v>
      </c>
    </row>
    <row r="144" spans="1:4">
      <c r="A144" s="129" t="s">
        <v>705</v>
      </c>
      <c r="B144" s="129"/>
      <c r="C144" s="129" t="s">
        <v>1700</v>
      </c>
      <c r="D144" s="129" t="s">
        <v>1701</v>
      </c>
    </row>
    <row r="145" spans="1:4">
      <c r="A145" s="129" t="s">
        <v>612</v>
      </c>
      <c r="B145" s="129"/>
      <c r="C145" s="129" t="s">
        <v>71</v>
      </c>
      <c r="D145" s="129" t="s">
        <v>70</v>
      </c>
    </row>
    <row r="146" spans="1:4">
      <c r="A146" s="129" t="s">
        <v>1257</v>
      </c>
      <c r="B146" s="129"/>
      <c r="C146" s="129" t="s">
        <v>71</v>
      </c>
      <c r="D146" s="129" t="s">
        <v>70</v>
      </c>
    </row>
    <row r="147" spans="1:4">
      <c r="A147" s="129" t="s">
        <v>704</v>
      </c>
      <c r="B147" s="129"/>
      <c r="C147" s="129" t="s">
        <v>71</v>
      </c>
      <c r="D147" s="129" t="s">
        <v>70</v>
      </c>
    </row>
    <row r="148" spans="1:4">
      <c r="A148" s="129" t="s">
        <v>615</v>
      </c>
      <c r="B148" s="129"/>
      <c r="C148" s="129" t="s">
        <v>71</v>
      </c>
      <c r="D148" s="129" t="s">
        <v>70</v>
      </c>
    </row>
    <row r="149" spans="1:4">
      <c r="A149" s="129" t="s">
        <v>1157</v>
      </c>
      <c r="B149" s="129"/>
      <c r="C149" s="129" t="s">
        <v>71</v>
      </c>
      <c r="D149" s="129" t="s">
        <v>70</v>
      </c>
    </row>
    <row r="150" spans="1:4">
      <c r="A150" s="129" t="s">
        <v>614</v>
      </c>
      <c r="B150" s="129"/>
      <c r="C150" s="129" t="s">
        <v>71</v>
      </c>
      <c r="D150" s="129" t="s">
        <v>70</v>
      </c>
    </row>
    <row r="151" spans="1:4">
      <c r="A151" s="129" t="s">
        <v>544</v>
      </c>
      <c r="B151" s="129"/>
      <c r="C151" s="129" t="s">
        <v>71</v>
      </c>
      <c r="D151" s="129" t="s">
        <v>70</v>
      </c>
    </row>
    <row r="152" spans="1:4">
      <c r="A152" s="129" t="s">
        <v>1258</v>
      </c>
      <c r="B152" s="129"/>
      <c r="C152" s="129" t="s">
        <v>71</v>
      </c>
      <c r="D152" s="129" t="s">
        <v>70</v>
      </c>
    </row>
    <row r="153" spans="1:4">
      <c r="A153" s="129" t="s">
        <v>232</v>
      </c>
      <c r="B153" s="129"/>
      <c r="C153" s="129" t="s">
        <v>71</v>
      </c>
      <c r="D153" s="129" t="s">
        <v>70</v>
      </c>
    </row>
    <row r="154" spans="1:4">
      <c r="A154" s="129" t="s">
        <v>1259</v>
      </c>
      <c r="B154" s="129"/>
      <c r="C154" s="129" t="s">
        <v>71</v>
      </c>
      <c r="D154" s="129" t="s">
        <v>70</v>
      </c>
    </row>
    <row r="155" spans="1:4">
      <c r="A155" s="129" t="s">
        <v>1260</v>
      </c>
      <c r="B155" s="129"/>
      <c r="C155" s="129" t="s">
        <v>71</v>
      </c>
      <c r="D155" s="129" t="s">
        <v>70</v>
      </c>
    </row>
    <row r="156" spans="1:4">
      <c r="A156" s="129" t="s">
        <v>2444</v>
      </c>
      <c r="B156" s="129" t="s">
        <v>1219</v>
      </c>
      <c r="C156" s="129" t="s">
        <v>71</v>
      </c>
      <c r="D156" s="129" t="s">
        <v>70</v>
      </c>
    </row>
    <row r="157" spans="1:4">
      <c r="A157" s="129" t="s">
        <v>1220</v>
      </c>
      <c r="B157" s="129"/>
      <c r="C157" s="129" t="s">
        <v>71</v>
      </c>
      <c r="D157" s="129" t="s">
        <v>70</v>
      </c>
    </row>
    <row r="158" spans="1:4">
      <c r="A158" s="129" t="s">
        <v>1216</v>
      </c>
      <c r="B158" s="129"/>
      <c r="C158" s="129" t="s">
        <v>71</v>
      </c>
      <c r="D158" s="129" t="s">
        <v>70</v>
      </c>
    </row>
    <row r="159" spans="1:4">
      <c r="A159" s="129" t="s">
        <v>1295</v>
      </c>
      <c r="B159" s="129"/>
      <c r="C159" s="129" t="s">
        <v>71</v>
      </c>
      <c r="D159" s="129" t="s">
        <v>70</v>
      </c>
    </row>
    <row r="160" spans="1:4">
      <c r="A160" s="129" t="s">
        <v>2445</v>
      </c>
      <c r="B160" s="129" t="s">
        <v>1261</v>
      </c>
      <c r="C160" s="129" t="s">
        <v>71</v>
      </c>
      <c r="D160" s="129" t="s">
        <v>70</v>
      </c>
    </row>
    <row r="161" spans="1:4">
      <c r="A161" s="129" t="s">
        <v>616</v>
      </c>
      <c r="B161" s="129"/>
      <c r="C161" s="129" t="s">
        <v>71</v>
      </c>
      <c r="D161" s="129" t="s">
        <v>70</v>
      </c>
    </row>
    <row r="162" spans="1:4">
      <c r="A162" s="129" t="s">
        <v>2446</v>
      </c>
      <c r="B162" s="129" t="s">
        <v>1202</v>
      </c>
      <c r="C162" s="129" t="s">
        <v>71</v>
      </c>
      <c r="D162" s="129" t="s">
        <v>70</v>
      </c>
    </row>
    <row r="163" spans="1:4">
      <c r="A163" s="129" t="s">
        <v>698</v>
      </c>
      <c r="B163" s="129"/>
      <c r="C163" s="129" t="s">
        <v>71</v>
      </c>
      <c r="D163" s="129" t="s">
        <v>70</v>
      </c>
    </row>
    <row r="164" spans="1:4">
      <c r="A164" s="129" t="s">
        <v>2447</v>
      </c>
      <c r="B164" s="129" t="s">
        <v>1221</v>
      </c>
      <c r="C164" s="129" t="s">
        <v>71</v>
      </c>
      <c r="D164" s="129" t="s">
        <v>70</v>
      </c>
    </row>
    <row r="165" spans="1:4">
      <c r="A165" s="129" t="s">
        <v>1296</v>
      </c>
      <c r="B165" s="129"/>
      <c r="C165" s="129" t="s">
        <v>71</v>
      </c>
      <c r="D165" s="129" t="s">
        <v>70</v>
      </c>
    </row>
    <row r="166" spans="1:4">
      <c r="A166" s="129" t="s">
        <v>1222</v>
      </c>
      <c r="B166" s="129"/>
      <c r="C166" s="129" t="s">
        <v>71</v>
      </c>
      <c r="D166" s="129" t="s">
        <v>70</v>
      </c>
    </row>
    <row r="167" spans="1:4">
      <c r="A167" s="129" t="s">
        <v>1223</v>
      </c>
      <c r="B167" s="129"/>
      <c r="C167" s="129" t="s">
        <v>71</v>
      </c>
      <c r="D167" s="129" t="s">
        <v>70</v>
      </c>
    </row>
    <row r="168" spans="1:4">
      <c r="A168" s="129" t="s">
        <v>686</v>
      </c>
      <c r="B168" s="129" t="s">
        <v>1262</v>
      </c>
      <c r="C168" s="129" t="s">
        <v>71</v>
      </c>
      <c r="D168" s="129" t="s">
        <v>70</v>
      </c>
    </row>
    <row r="169" spans="1:4">
      <c r="A169" s="129" t="s">
        <v>2448</v>
      </c>
      <c r="B169" s="129" t="s">
        <v>1291</v>
      </c>
      <c r="C169" s="129" t="s">
        <v>71</v>
      </c>
      <c r="D169" s="129" t="s">
        <v>70</v>
      </c>
    </row>
    <row r="170" spans="1:4">
      <c r="A170" s="129" t="s">
        <v>1166</v>
      </c>
      <c r="B170" s="129"/>
      <c r="C170" s="129" t="s">
        <v>71</v>
      </c>
      <c r="D170" s="129" t="s">
        <v>70</v>
      </c>
    </row>
    <row r="171" spans="1:4">
      <c r="A171" s="129" t="s">
        <v>1224</v>
      </c>
      <c r="B171" s="129"/>
      <c r="C171" s="129" t="s">
        <v>71</v>
      </c>
      <c r="D171" s="129" t="s">
        <v>70</v>
      </c>
    </row>
    <row r="172" spans="1:4">
      <c r="A172" s="129" t="s">
        <v>1225</v>
      </c>
      <c r="B172" s="129"/>
      <c r="C172" s="129" t="s">
        <v>71</v>
      </c>
      <c r="D172" s="129" t="s">
        <v>70</v>
      </c>
    </row>
    <row r="173" spans="1:4">
      <c r="A173" s="129" t="s">
        <v>1167</v>
      </c>
      <c r="B173" s="129"/>
      <c r="C173" s="129" t="s">
        <v>71</v>
      </c>
      <c r="D173" s="129" t="s">
        <v>70</v>
      </c>
    </row>
    <row r="174" spans="1:4">
      <c r="A174" s="129" t="s">
        <v>1226</v>
      </c>
      <c r="B174" s="129"/>
      <c r="C174" s="129" t="s">
        <v>71</v>
      </c>
      <c r="D174" s="129" t="s">
        <v>70</v>
      </c>
    </row>
    <row r="175" spans="1:4">
      <c r="A175" s="129" t="s">
        <v>2450</v>
      </c>
      <c r="B175" s="129" t="s">
        <v>1227</v>
      </c>
      <c r="C175" s="129" t="s">
        <v>71</v>
      </c>
      <c r="D175" s="129" t="s">
        <v>70</v>
      </c>
    </row>
    <row r="176" spans="1:4">
      <c r="A176" s="129" t="s">
        <v>1228</v>
      </c>
      <c r="B176" s="129"/>
      <c r="C176" s="129" t="s">
        <v>71</v>
      </c>
      <c r="D176" s="129" t="s">
        <v>70</v>
      </c>
    </row>
    <row r="177" spans="1:4">
      <c r="A177" s="129" t="s">
        <v>1263</v>
      </c>
      <c r="B177" s="129"/>
      <c r="C177" s="129" t="s">
        <v>71</v>
      </c>
      <c r="D177" s="129" t="s">
        <v>70</v>
      </c>
    </row>
    <row r="178" spans="1:4">
      <c r="A178" s="129" t="s">
        <v>1297</v>
      </c>
      <c r="B178" s="129"/>
      <c r="C178" s="129" t="s">
        <v>71</v>
      </c>
      <c r="D178" s="129" t="s">
        <v>70</v>
      </c>
    </row>
    <row r="179" spans="1:4">
      <c r="A179" s="129" t="s">
        <v>1229</v>
      </c>
      <c r="B179" s="129"/>
      <c r="C179" s="129" t="s">
        <v>71</v>
      </c>
      <c r="D179" s="129" t="s">
        <v>70</v>
      </c>
    </row>
    <row r="180" spans="1:4">
      <c r="A180" s="129" t="s">
        <v>1264</v>
      </c>
      <c r="B180" s="129"/>
      <c r="C180" s="129" t="s">
        <v>71</v>
      </c>
      <c r="D180" s="129" t="s">
        <v>70</v>
      </c>
    </row>
    <row r="181" spans="1:4">
      <c r="A181" s="129" t="s">
        <v>1203</v>
      </c>
      <c r="B181" s="129"/>
      <c r="C181" s="129" t="s">
        <v>71</v>
      </c>
      <c r="D181" s="129" t="s">
        <v>70</v>
      </c>
    </row>
    <row r="182" spans="1:4">
      <c r="A182" s="129" t="s">
        <v>1230</v>
      </c>
      <c r="B182" s="129"/>
      <c r="C182" s="129" t="s">
        <v>71</v>
      </c>
      <c r="D182" s="129" t="s">
        <v>70</v>
      </c>
    </row>
    <row r="183" spans="1:4">
      <c r="A183" s="129" t="s">
        <v>1204</v>
      </c>
      <c r="B183" s="129"/>
      <c r="C183" s="129" t="s">
        <v>71</v>
      </c>
      <c r="D183" s="129" t="s">
        <v>70</v>
      </c>
    </row>
    <row r="184" spans="1:4">
      <c r="A184" s="129" t="s">
        <v>1169</v>
      </c>
      <c r="B184" s="129"/>
      <c r="C184" s="129" t="s">
        <v>71</v>
      </c>
      <c r="D184" s="129" t="s">
        <v>70</v>
      </c>
    </row>
    <row r="185" spans="1:4">
      <c r="A185" s="129" t="s">
        <v>1298</v>
      </c>
      <c r="B185" s="129"/>
      <c r="C185" s="129" t="s">
        <v>71</v>
      </c>
      <c r="D185" s="129" t="s">
        <v>70</v>
      </c>
    </row>
    <row r="186" spans="1:4">
      <c r="A186" s="129" t="s">
        <v>1265</v>
      </c>
      <c r="B186" s="129"/>
      <c r="C186" s="129" t="s">
        <v>71</v>
      </c>
      <c r="D186" s="129" t="s">
        <v>70</v>
      </c>
    </row>
    <row r="187" spans="1:4">
      <c r="A187" s="129" t="s">
        <v>2451</v>
      </c>
      <c r="B187" s="129" t="s">
        <v>1231</v>
      </c>
      <c r="C187" s="129" t="s">
        <v>71</v>
      </c>
      <c r="D187" s="129" t="s">
        <v>70</v>
      </c>
    </row>
    <row r="188" spans="1:4">
      <c r="A188" s="129" t="s">
        <v>1170</v>
      </c>
      <c r="B188" s="129"/>
      <c r="C188" s="129" t="s">
        <v>71</v>
      </c>
      <c r="D188" s="129" t="s">
        <v>70</v>
      </c>
    </row>
    <row r="189" spans="1:4">
      <c r="A189" s="129" t="s">
        <v>1266</v>
      </c>
      <c r="B189" s="129"/>
      <c r="C189" s="129" t="s">
        <v>71</v>
      </c>
      <c r="D189" s="129" t="s">
        <v>70</v>
      </c>
    </row>
    <row r="190" spans="1:4">
      <c r="A190" s="129" t="s">
        <v>1232</v>
      </c>
      <c r="B190" s="129"/>
      <c r="C190" s="129" t="s">
        <v>71</v>
      </c>
      <c r="D190" s="129" t="s">
        <v>70</v>
      </c>
    </row>
    <row r="191" spans="1:4">
      <c r="A191" s="129" t="s">
        <v>1292</v>
      </c>
      <c r="B191" s="129"/>
      <c r="C191" s="129" t="s">
        <v>71</v>
      </c>
      <c r="D191" s="129" t="s">
        <v>70</v>
      </c>
    </row>
    <row r="192" spans="1:4">
      <c r="A192" s="129" t="s">
        <v>714</v>
      </c>
      <c r="B192" s="129"/>
      <c r="C192" s="129" t="s">
        <v>71</v>
      </c>
      <c r="D192" s="129" t="s">
        <v>70</v>
      </c>
    </row>
    <row r="193" spans="1:4">
      <c r="A193" s="129" t="s">
        <v>1233</v>
      </c>
      <c r="B193" s="129"/>
      <c r="C193" s="129" t="s">
        <v>71</v>
      </c>
      <c r="D193" s="129" t="s">
        <v>70</v>
      </c>
    </row>
    <row r="194" spans="1:4">
      <c r="A194" s="129" t="s">
        <v>1233</v>
      </c>
      <c r="B194" s="129" t="s">
        <v>1234</v>
      </c>
      <c r="C194" s="129" t="s">
        <v>71</v>
      </c>
      <c r="D194" s="129" t="s">
        <v>70</v>
      </c>
    </row>
    <row r="195" spans="1:4">
      <c r="A195" s="129" t="s">
        <v>1233</v>
      </c>
      <c r="B195" s="129" t="s">
        <v>1235</v>
      </c>
      <c r="C195" s="129" t="s">
        <v>71</v>
      </c>
      <c r="D195" s="129" t="s">
        <v>70</v>
      </c>
    </row>
    <row r="196" spans="1:4">
      <c r="A196" s="129" t="s">
        <v>1236</v>
      </c>
      <c r="B196" s="129"/>
      <c r="C196" s="129" t="s">
        <v>71</v>
      </c>
      <c r="D196" s="129" t="s">
        <v>70</v>
      </c>
    </row>
    <row r="197" spans="1:4">
      <c r="A197" s="129" t="s">
        <v>1299</v>
      </c>
      <c r="B197" s="129"/>
      <c r="C197" s="129" t="s">
        <v>71</v>
      </c>
      <c r="D197" s="129" t="s">
        <v>70</v>
      </c>
    </row>
    <row r="198" spans="1:4">
      <c r="A198" s="129" t="s">
        <v>1173</v>
      </c>
      <c r="B198" s="129"/>
      <c r="C198" s="129" t="s">
        <v>71</v>
      </c>
      <c r="D198" s="129" t="s">
        <v>70</v>
      </c>
    </row>
    <row r="199" spans="1:4">
      <c r="A199" s="129" t="s">
        <v>1237</v>
      </c>
      <c r="B199" s="129"/>
      <c r="C199" s="129" t="s">
        <v>71</v>
      </c>
      <c r="D199" s="129" t="s">
        <v>70</v>
      </c>
    </row>
    <row r="200" spans="1:4">
      <c r="A200" s="129" t="s">
        <v>1267</v>
      </c>
      <c r="B200" s="129"/>
      <c r="C200" s="129" t="s">
        <v>71</v>
      </c>
      <c r="D200" s="129" t="s">
        <v>70</v>
      </c>
    </row>
    <row r="201" spans="1:4">
      <c r="A201" s="129" t="s">
        <v>1300</v>
      </c>
      <c r="B201" s="129"/>
      <c r="C201" s="129" t="s">
        <v>71</v>
      </c>
      <c r="D201" s="129" t="s">
        <v>70</v>
      </c>
    </row>
    <row r="202" spans="1:4">
      <c r="A202" s="129" t="s">
        <v>1301</v>
      </c>
      <c r="B202" s="129"/>
      <c r="C202" s="129" t="s">
        <v>71</v>
      </c>
      <c r="D202" s="129" t="s">
        <v>70</v>
      </c>
    </row>
    <row r="203" spans="1:4">
      <c r="A203" s="129" t="s">
        <v>1302</v>
      </c>
      <c r="B203" s="129"/>
      <c r="C203" s="129" t="s">
        <v>71</v>
      </c>
      <c r="D203" s="129" t="s">
        <v>70</v>
      </c>
    </row>
    <row r="204" spans="1:4">
      <c r="A204" s="129" t="s">
        <v>1205</v>
      </c>
      <c r="B204" s="129"/>
      <c r="C204" s="129" t="s">
        <v>71</v>
      </c>
      <c r="D204" s="129" t="s">
        <v>70</v>
      </c>
    </row>
    <row r="205" spans="1:4">
      <c r="A205" s="129" t="s">
        <v>1200</v>
      </c>
      <c r="B205" s="129"/>
      <c r="C205" s="129" t="s">
        <v>71</v>
      </c>
      <c r="D205" s="129" t="s">
        <v>70</v>
      </c>
    </row>
    <row r="206" spans="1:4">
      <c r="A206" s="129" t="s">
        <v>2458</v>
      </c>
      <c r="B206" s="129" t="s">
        <v>1238</v>
      </c>
      <c r="C206" s="129" t="s">
        <v>71</v>
      </c>
      <c r="D206" s="129" t="s">
        <v>70</v>
      </c>
    </row>
    <row r="207" spans="1:4">
      <c r="A207" s="129" t="s">
        <v>2459</v>
      </c>
      <c r="B207" s="129" t="s">
        <v>1239</v>
      </c>
      <c r="C207" s="129" t="s">
        <v>71</v>
      </c>
      <c r="D207" s="129" t="s">
        <v>70</v>
      </c>
    </row>
    <row r="208" spans="1:4">
      <c r="A208" s="129" t="s">
        <v>1175</v>
      </c>
      <c r="B208" s="129"/>
      <c r="C208" s="129" t="s">
        <v>71</v>
      </c>
      <c r="D208" s="129" t="s">
        <v>70</v>
      </c>
    </row>
    <row r="209" spans="1:4">
      <c r="A209" s="129" t="s">
        <v>1303</v>
      </c>
      <c r="B209" s="129"/>
      <c r="C209" s="129" t="s">
        <v>71</v>
      </c>
      <c r="D209" s="129" t="s">
        <v>70</v>
      </c>
    </row>
    <row r="210" spans="1:4">
      <c r="A210" s="129" t="s">
        <v>1240</v>
      </c>
      <c r="B210" s="129"/>
      <c r="C210" s="129" t="s">
        <v>71</v>
      </c>
      <c r="D210" s="129" t="s">
        <v>70</v>
      </c>
    </row>
    <row r="211" spans="1:4">
      <c r="A211" s="129" t="s">
        <v>1217</v>
      </c>
      <c r="B211" s="129"/>
      <c r="C211" s="129" t="s">
        <v>71</v>
      </c>
      <c r="D211" s="129" t="s">
        <v>70</v>
      </c>
    </row>
    <row r="212" spans="1:4">
      <c r="A212" s="129" t="s">
        <v>1268</v>
      </c>
      <c r="B212" s="129"/>
      <c r="C212" s="129" t="s">
        <v>71</v>
      </c>
      <c r="D212" s="129" t="s">
        <v>70</v>
      </c>
    </row>
    <row r="213" spans="1:4">
      <c r="A213" s="129" t="s">
        <v>1206</v>
      </c>
      <c r="B213" s="129"/>
      <c r="C213" s="129" t="s">
        <v>71</v>
      </c>
      <c r="D213" s="129" t="s">
        <v>70</v>
      </c>
    </row>
    <row r="214" spans="1:4">
      <c r="A214" s="129" t="s">
        <v>1269</v>
      </c>
      <c r="B214" s="129"/>
      <c r="C214" s="129" t="s">
        <v>71</v>
      </c>
      <c r="D214" s="129" t="s">
        <v>70</v>
      </c>
    </row>
    <row r="215" spans="1:4">
      <c r="A215" s="129" t="s">
        <v>1207</v>
      </c>
      <c r="B215" s="129"/>
      <c r="C215" s="129" t="s">
        <v>71</v>
      </c>
      <c r="D215" s="129" t="s">
        <v>70</v>
      </c>
    </row>
    <row r="216" spans="1:4">
      <c r="A216" s="129" t="s">
        <v>1177</v>
      </c>
      <c r="B216" s="129" t="s">
        <v>1241</v>
      </c>
      <c r="C216" s="129" t="s">
        <v>71</v>
      </c>
      <c r="D216" s="129" t="s">
        <v>70</v>
      </c>
    </row>
    <row r="217" spans="1:4">
      <c r="A217" s="129" t="s">
        <v>1177</v>
      </c>
      <c r="B217" s="129" t="s">
        <v>1218</v>
      </c>
      <c r="C217" s="129" t="s">
        <v>71</v>
      </c>
      <c r="D217" s="129" t="s">
        <v>70</v>
      </c>
    </row>
    <row r="218" spans="1:4">
      <c r="A218" s="129" t="s">
        <v>1242</v>
      </c>
      <c r="B218" s="129"/>
      <c r="C218" s="129" t="s">
        <v>71</v>
      </c>
      <c r="D218" s="129" t="s">
        <v>70</v>
      </c>
    </row>
    <row r="219" spans="1:4">
      <c r="A219" s="129" t="s">
        <v>2462</v>
      </c>
      <c r="B219" s="129" t="s">
        <v>1243</v>
      </c>
      <c r="C219" s="129" t="s">
        <v>71</v>
      </c>
      <c r="D219" s="129" t="s">
        <v>70</v>
      </c>
    </row>
    <row r="220" spans="1:4">
      <c r="A220" s="129" t="s">
        <v>1208</v>
      </c>
      <c r="B220" s="129"/>
      <c r="C220" s="129" t="s">
        <v>71</v>
      </c>
      <c r="D220" s="129" t="s">
        <v>70</v>
      </c>
    </row>
    <row r="221" spans="1:4">
      <c r="A221" s="129" t="s">
        <v>2463</v>
      </c>
      <c r="B221" s="129" t="s">
        <v>1209</v>
      </c>
      <c r="C221" s="129" t="s">
        <v>71</v>
      </c>
      <c r="D221" s="129" t="s">
        <v>70</v>
      </c>
    </row>
    <row r="222" spans="1:4">
      <c r="A222" s="129" t="s">
        <v>1270</v>
      </c>
      <c r="B222" s="129"/>
      <c r="C222" s="129" t="s">
        <v>71</v>
      </c>
      <c r="D222" s="129" t="s">
        <v>70</v>
      </c>
    </row>
    <row r="223" spans="1:4">
      <c r="A223" s="129" t="s">
        <v>1180</v>
      </c>
      <c r="B223" s="129"/>
      <c r="C223" s="129" t="s">
        <v>71</v>
      </c>
      <c r="D223" s="129" t="s">
        <v>70</v>
      </c>
    </row>
    <row r="224" spans="1:4">
      <c r="A224" s="129" t="s">
        <v>1181</v>
      </c>
      <c r="B224" s="129"/>
      <c r="C224" s="129" t="s">
        <v>71</v>
      </c>
      <c r="D224" s="129" t="s">
        <v>70</v>
      </c>
    </row>
    <row r="225" spans="1:4">
      <c r="A225" s="129" t="s">
        <v>617</v>
      </c>
      <c r="B225" s="129"/>
      <c r="C225" s="129" t="s">
        <v>71</v>
      </c>
      <c r="D225" s="129" t="s">
        <v>70</v>
      </c>
    </row>
    <row r="226" spans="1:4">
      <c r="A226" s="129" t="s">
        <v>1304</v>
      </c>
      <c r="B226" s="129"/>
      <c r="C226" s="129" t="s">
        <v>71</v>
      </c>
      <c r="D226" s="129" t="s">
        <v>70</v>
      </c>
    </row>
    <row r="227" spans="1:4">
      <c r="A227" s="129" t="s">
        <v>1201</v>
      </c>
      <c r="B227" s="129"/>
      <c r="C227" s="129" t="s">
        <v>71</v>
      </c>
      <c r="D227" s="129" t="s">
        <v>70</v>
      </c>
    </row>
    <row r="228" spans="1:4">
      <c r="A228" s="129" t="s">
        <v>2467</v>
      </c>
      <c r="B228" s="129" t="s">
        <v>1210</v>
      </c>
      <c r="C228" s="129" t="s">
        <v>71</v>
      </c>
      <c r="D228" s="129" t="s">
        <v>70</v>
      </c>
    </row>
    <row r="229" spans="1:4">
      <c r="A229" s="129" t="s">
        <v>1244</v>
      </c>
      <c r="B229" s="129"/>
      <c r="C229" s="129" t="s">
        <v>71</v>
      </c>
      <c r="D229" s="129" t="s">
        <v>70</v>
      </c>
    </row>
    <row r="230" spans="1:4">
      <c r="A230" s="129" t="s">
        <v>1305</v>
      </c>
      <c r="B230" s="129"/>
      <c r="C230" s="129" t="s">
        <v>71</v>
      </c>
      <c r="D230" s="129" t="s">
        <v>70</v>
      </c>
    </row>
    <row r="231" spans="1:4">
      <c r="A231" s="129" t="s">
        <v>1306</v>
      </c>
      <c r="B231" s="129"/>
      <c r="C231" s="129" t="s">
        <v>71</v>
      </c>
      <c r="D231" s="129" t="s">
        <v>70</v>
      </c>
    </row>
    <row r="232" spans="1:4">
      <c r="A232" s="129" t="s">
        <v>1245</v>
      </c>
      <c r="B232" s="129"/>
      <c r="C232" s="129" t="s">
        <v>71</v>
      </c>
      <c r="D232" s="129" t="s">
        <v>70</v>
      </c>
    </row>
    <row r="233" spans="1:4">
      <c r="A233" s="129" t="s">
        <v>1211</v>
      </c>
      <c r="B233" s="129"/>
      <c r="C233" s="129" t="s">
        <v>71</v>
      </c>
      <c r="D233" s="129" t="s">
        <v>70</v>
      </c>
    </row>
    <row r="234" spans="1:4">
      <c r="A234" s="129" t="s">
        <v>1246</v>
      </c>
      <c r="B234" s="129"/>
      <c r="C234" s="129" t="s">
        <v>71</v>
      </c>
      <c r="D234" s="129" t="s">
        <v>70</v>
      </c>
    </row>
    <row r="235" spans="1:4">
      <c r="A235" s="129" t="s">
        <v>1271</v>
      </c>
      <c r="B235" s="129"/>
      <c r="C235" s="129" t="s">
        <v>71</v>
      </c>
      <c r="D235" s="129" t="s">
        <v>70</v>
      </c>
    </row>
    <row r="236" spans="1:4">
      <c r="A236" s="129" t="s">
        <v>1272</v>
      </c>
      <c r="B236" s="129"/>
      <c r="C236" s="129" t="s">
        <v>71</v>
      </c>
      <c r="D236" s="129" t="s">
        <v>70</v>
      </c>
    </row>
    <row r="237" spans="1:4">
      <c r="A237" s="129" t="s">
        <v>2469</v>
      </c>
      <c r="B237" s="129" t="s">
        <v>1273</v>
      </c>
      <c r="C237" s="129" t="s">
        <v>71</v>
      </c>
      <c r="D237" s="129" t="s">
        <v>70</v>
      </c>
    </row>
    <row r="238" spans="1:4">
      <c r="A238" s="129" t="s">
        <v>1184</v>
      </c>
      <c r="B238" s="129" t="s">
        <v>1294</v>
      </c>
      <c r="C238" s="129" t="s">
        <v>71</v>
      </c>
      <c r="D238" s="129" t="s">
        <v>70</v>
      </c>
    </row>
    <row r="239" spans="1:4">
      <c r="A239" s="129" t="s">
        <v>1307</v>
      </c>
      <c r="B239" s="129"/>
      <c r="C239" s="129" t="s">
        <v>71</v>
      </c>
      <c r="D239" s="129" t="s">
        <v>70</v>
      </c>
    </row>
    <row r="240" spans="1:4">
      <c r="A240" s="129" t="s">
        <v>1838</v>
      </c>
      <c r="B240" s="129" t="s">
        <v>1212</v>
      </c>
      <c r="C240" s="129" t="s">
        <v>71</v>
      </c>
      <c r="D240" s="129" t="s">
        <v>70</v>
      </c>
    </row>
    <row r="241" spans="1:4">
      <c r="A241" s="129" t="s">
        <v>1247</v>
      </c>
      <c r="B241" s="129"/>
      <c r="C241" s="129" t="s">
        <v>71</v>
      </c>
      <c r="D241" s="129" t="s">
        <v>70</v>
      </c>
    </row>
    <row r="242" spans="1:4">
      <c r="A242" s="129" t="s">
        <v>1274</v>
      </c>
      <c r="B242" s="129"/>
      <c r="C242" s="129" t="s">
        <v>71</v>
      </c>
      <c r="D242" s="129" t="s">
        <v>70</v>
      </c>
    </row>
    <row r="243" spans="1:4">
      <c r="A243" s="129" t="s">
        <v>1308</v>
      </c>
      <c r="B243" s="129"/>
      <c r="C243" s="129" t="s">
        <v>71</v>
      </c>
      <c r="D243" s="129" t="s">
        <v>70</v>
      </c>
    </row>
    <row r="244" spans="1:4">
      <c r="A244" s="129" t="s">
        <v>1275</v>
      </c>
      <c r="B244" s="129"/>
      <c r="C244" s="129" t="s">
        <v>71</v>
      </c>
      <c r="D244" s="129" t="s">
        <v>70</v>
      </c>
    </row>
    <row r="245" spans="1:4">
      <c r="A245" s="129" t="s">
        <v>1248</v>
      </c>
      <c r="B245" s="129"/>
      <c r="C245" s="129" t="s">
        <v>71</v>
      </c>
      <c r="D245" s="129" t="s">
        <v>70</v>
      </c>
    </row>
    <row r="246" spans="1:4">
      <c r="A246" s="129" t="s">
        <v>1276</v>
      </c>
      <c r="B246" s="129"/>
      <c r="C246" s="129" t="s">
        <v>71</v>
      </c>
      <c r="D246" s="129" t="s">
        <v>70</v>
      </c>
    </row>
    <row r="247" spans="1:4">
      <c r="A247" s="129" t="s">
        <v>1309</v>
      </c>
      <c r="B247" s="129"/>
      <c r="C247" s="129" t="s">
        <v>71</v>
      </c>
      <c r="D247" s="129" t="s">
        <v>70</v>
      </c>
    </row>
    <row r="248" spans="1:4">
      <c r="A248" s="129" t="s">
        <v>1249</v>
      </c>
      <c r="B248" s="129"/>
      <c r="C248" s="129" t="s">
        <v>71</v>
      </c>
      <c r="D248" s="129" t="s">
        <v>70</v>
      </c>
    </row>
    <row r="249" spans="1:4">
      <c r="A249" s="129" t="s">
        <v>2472</v>
      </c>
      <c r="B249" s="129" t="s">
        <v>1277</v>
      </c>
      <c r="C249" s="129" t="s">
        <v>71</v>
      </c>
      <c r="D249" s="129" t="s">
        <v>70</v>
      </c>
    </row>
    <row r="250" spans="1:4">
      <c r="A250" s="129" t="s">
        <v>2473</v>
      </c>
      <c r="B250" s="129" t="s">
        <v>1213</v>
      </c>
      <c r="C250" s="129" t="s">
        <v>71</v>
      </c>
      <c r="D250" s="129" t="s">
        <v>70</v>
      </c>
    </row>
    <row r="251" spans="1:4">
      <c r="A251" s="129" t="s">
        <v>2473</v>
      </c>
      <c r="B251" s="129" t="s">
        <v>1214</v>
      </c>
      <c r="C251" s="129" t="s">
        <v>71</v>
      </c>
      <c r="D251" s="129" t="s">
        <v>70</v>
      </c>
    </row>
    <row r="252" spans="1:4">
      <c r="A252" s="129" t="s">
        <v>1250</v>
      </c>
      <c r="B252" s="129"/>
      <c r="C252" s="129" t="s">
        <v>71</v>
      </c>
      <c r="D252" s="129" t="s">
        <v>70</v>
      </c>
    </row>
    <row r="253" spans="1:4">
      <c r="A253" s="129" t="s">
        <v>2474</v>
      </c>
      <c r="B253" s="129" t="s">
        <v>1251</v>
      </c>
      <c r="C253" s="129" t="s">
        <v>71</v>
      </c>
      <c r="D253" s="129" t="s">
        <v>70</v>
      </c>
    </row>
    <row r="254" spans="1:4">
      <c r="A254" s="129" t="s">
        <v>1252</v>
      </c>
      <c r="B254" s="129"/>
      <c r="C254" s="129" t="s">
        <v>71</v>
      </c>
      <c r="D254" s="129" t="s">
        <v>70</v>
      </c>
    </row>
    <row r="255" spans="1:4">
      <c r="A255" s="129" t="s">
        <v>678</v>
      </c>
      <c r="B255" s="129"/>
      <c r="C255" s="129" t="s">
        <v>71</v>
      </c>
      <c r="D255" s="129" t="s">
        <v>70</v>
      </c>
    </row>
    <row r="256" spans="1:4">
      <c r="A256" s="129" t="s">
        <v>1310</v>
      </c>
      <c r="B256" s="129"/>
      <c r="C256" s="129" t="s">
        <v>71</v>
      </c>
      <c r="D256" s="129" t="s">
        <v>70</v>
      </c>
    </row>
    <row r="257" spans="1:4">
      <c r="A257" s="129" t="s">
        <v>1278</v>
      </c>
      <c r="B257" s="129"/>
      <c r="C257" s="129" t="s">
        <v>71</v>
      </c>
      <c r="D257" s="129" t="s">
        <v>70</v>
      </c>
    </row>
    <row r="258" spans="1:4">
      <c r="A258" s="129" t="s">
        <v>1189</v>
      </c>
      <c r="B258" s="129"/>
      <c r="C258" s="129" t="s">
        <v>71</v>
      </c>
      <c r="D258" s="129" t="s">
        <v>70</v>
      </c>
    </row>
    <row r="259" spans="1:4">
      <c r="A259" s="129" t="s">
        <v>1279</v>
      </c>
      <c r="B259" s="129"/>
      <c r="C259" s="129" t="s">
        <v>71</v>
      </c>
      <c r="D259" s="129" t="s">
        <v>70</v>
      </c>
    </row>
    <row r="260" spans="1:4">
      <c r="A260" s="129" t="s">
        <v>642</v>
      </c>
      <c r="B260" s="129"/>
      <c r="C260" s="129" t="s">
        <v>71</v>
      </c>
      <c r="D260" s="129" t="s">
        <v>70</v>
      </c>
    </row>
    <row r="261" spans="1:4">
      <c r="A261" s="129" t="s">
        <v>1192</v>
      </c>
      <c r="B261" s="129"/>
      <c r="C261" s="129" t="s">
        <v>71</v>
      </c>
      <c r="D261" s="129" t="s">
        <v>70</v>
      </c>
    </row>
    <row r="262" spans="1:4">
      <c r="A262" s="129" t="s">
        <v>1193</v>
      </c>
      <c r="B262" s="129"/>
      <c r="C262" s="129" t="s">
        <v>71</v>
      </c>
      <c r="D262" s="129" t="s">
        <v>70</v>
      </c>
    </row>
    <row r="263" spans="1:4">
      <c r="A263" s="129" t="s">
        <v>1194</v>
      </c>
      <c r="B263" s="129"/>
      <c r="C263" s="129" t="s">
        <v>71</v>
      </c>
      <c r="D263" s="129" t="s">
        <v>70</v>
      </c>
    </row>
    <row r="264" spans="1:4">
      <c r="A264" s="129" t="s">
        <v>1198</v>
      </c>
      <c r="B264" s="129"/>
      <c r="C264" s="129" t="s">
        <v>71</v>
      </c>
      <c r="D264" s="129" t="s">
        <v>70</v>
      </c>
    </row>
    <row r="265" spans="1:4">
      <c r="A265" s="129" t="s">
        <v>1293</v>
      </c>
      <c r="B265" s="129"/>
      <c r="C265" s="129" t="s">
        <v>71</v>
      </c>
      <c r="D265" s="129" t="s">
        <v>70</v>
      </c>
    </row>
    <row r="266" spans="1:4">
      <c r="A266" s="129" t="s">
        <v>2475</v>
      </c>
      <c r="B266" s="129" t="s">
        <v>1280</v>
      </c>
      <c r="C266" s="129" t="s">
        <v>71</v>
      </c>
      <c r="D266" s="129" t="s">
        <v>70</v>
      </c>
    </row>
    <row r="267" spans="1:4">
      <c r="A267" s="129" t="s">
        <v>1253</v>
      </c>
      <c r="B267" s="129"/>
      <c r="C267" s="129" t="s">
        <v>71</v>
      </c>
      <c r="D267" s="129" t="s">
        <v>70</v>
      </c>
    </row>
    <row r="268" spans="1:4">
      <c r="A268" s="129" t="s">
        <v>1281</v>
      </c>
      <c r="B268" s="129"/>
      <c r="C268" s="129" t="s">
        <v>71</v>
      </c>
      <c r="D268" s="129" t="s">
        <v>70</v>
      </c>
    </row>
    <row r="269" spans="1:4">
      <c r="A269" s="129" t="s">
        <v>1215</v>
      </c>
      <c r="B269" s="129"/>
      <c r="C269" s="129" t="s">
        <v>71</v>
      </c>
      <c r="D269" s="129" t="s">
        <v>70</v>
      </c>
    </row>
    <row r="270" spans="1:4">
      <c r="A270" s="129" t="s">
        <v>1254</v>
      </c>
      <c r="B270" s="129"/>
      <c r="C270" s="129" t="s">
        <v>71</v>
      </c>
      <c r="D270" s="129" t="s">
        <v>70</v>
      </c>
    </row>
    <row r="271" spans="1:4">
      <c r="A271" s="129" t="s">
        <v>2476</v>
      </c>
      <c r="B271" s="129" t="s">
        <v>1282</v>
      </c>
      <c r="C271" s="129" t="s">
        <v>71</v>
      </c>
      <c r="D271" s="129" t="s">
        <v>70</v>
      </c>
    </row>
    <row r="272" spans="1:4">
      <c r="A272" s="129" t="s">
        <v>2477</v>
      </c>
      <c r="B272" s="129" t="s">
        <v>1255</v>
      </c>
      <c r="C272" s="129" t="s">
        <v>71</v>
      </c>
      <c r="D272" s="129" t="s">
        <v>70</v>
      </c>
    </row>
    <row r="273" spans="1:4">
      <c r="A273" s="129" t="s">
        <v>687</v>
      </c>
      <c r="B273" s="129" t="s">
        <v>1283</v>
      </c>
      <c r="C273" s="129" t="s">
        <v>71</v>
      </c>
      <c r="D273" s="129" t="s">
        <v>70</v>
      </c>
    </row>
    <row r="274" spans="1:4">
      <c r="A274" s="129" t="s">
        <v>1284</v>
      </c>
      <c r="B274" s="129"/>
      <c r="C274" s="129" t="s">
        <v>71</v>
      </c>
      <c r="D274" s="129" t="s">
        <v>70</v>
      </c>
    </row>
    <row r="275" spans="1:4">
      <c r="A275" s="129" t="s">
        <v>621</v>
      </c>
      <c r="B275" s="129"/>
      <c r="C275" s="129" t="s">
        <v>71</v>
      </c>
      <c r="D275" s="129" t="s">
        <v>70</v>
      </c>
    </row>
    <row r="276" spans="1:4">
      <c r="A276" s="129" t="s">
        <v>1285</v>
      </c>
      <c r="B276" s="129"/>
      <c r="C276" s="129" t="s">
        <v>71</v>
      </c>
      <c r="D276" s="129" t="s">
        <v>70</v>
      </c>
    </row>
    <row r="277" spans="1:4">
      <c r="A277" s="129" t="s">
        <v>1286</v>
      </c>
      <c r="B277" s="129"/>
      <c r="C277" s="129" t="s">
        <v>71</v>
      </c>
      <c r="D277" s="129" t="s">
        <v>70</v>
      </c>
    </row>
    <row r="278" spans="1:4">
      <c r="A278" s="129" t="s">
        <v>2479</v>
      </c>
      <c r="B278" s="129" t="s">
        <v>1256</v>
      </c>
      <c r="C278" s="129" t="s">
        <v>71</v>
      </c>
      <c r="D278" s="129" t="s">
        <v>70</v>
      </c>
    </row>
    <row r="279" spans="1:4">
      <c r="A279" s="129" t="s">
        <v>676</v>
      </c>
      <c r="B279" s="129"/>
      <c r="C279" s="129" t="s">
        <v>71</v>
      </c>
      <c r="D279" s="129" t="s">
        <v>70</v>
      </c>
    </row>
    <row r="280" spans="1:4">
      <c r="A280" s="129" t="s">
        <v>1287</v>
      </c>
      <c r="B280" s="129"/>
      <c r="C280" s="129" t="s">
        <v>71</v>
      </c>
      <c r="D280" s="129" t="s">
        <v>70</v>
      </c>
    </row>
    <row r="281" spans="1:4">
      <c r="A281" s="129" t="s">
        <v>2480</v>
      </c>
      <c r="B281" s="129" t="s">
        <v>1288</v>
      </c>
      <c r="C281" s="129" t="s">
        <v>71</v>
      </c>
      <c r="D281" s="129" t="s">
        <v>70</v>
      </c>
    </row>
    <row r="282" spans="1:4">
      <c r="A282" s="129" t="s">
        <v>1289</v>
      </c>
      <c r="B282" s="129"/>
      <c r="C282" s="129" t="s">
        <v>71</v>
      </c>
      <c r="D282" s="129" t="s">
        <v>70</v>
      </c>
    </row>
    <row r="283" spans="1:4">
      <c r="A283" s="129" t="s">
        <v>1290</v>
      </c>
      <c r="B283" s="129"/>
      <c r="C283" s="129" t="s">
        <v>71</v>
      </c>
      <c r="D283" s="129" t="s">
        <v>70</v>
      </c>
    </row>
    <row r="284" spans="1:4">
      <c r="A284" s="129" t="s">
        <v>704</v>
      </c>
      <c r="B284" s="129"/>
      <c r="C284" s="129" t="s">
        <v>1155</v>
      </c>
      <c r="D284" s="129" t="s">
        <v>1156</v>
      </c>
    </row>
    <row r="285" spans="1:4">
      <c r="A285" s="129" t="s">
        <v>1157</v>
      </c>
      <c r="B285" s="129"/>
      <c r="C285" s="129" t="s">
        <v>1155</v>
      </c>
      <c r="D285" s="129" t="s">
        <v>1156</v>
      </c>
    </row>
    <row r="286" spans="1:4">
      <c r="A286" s="129" t="s">
        <v>1158</v>
      </c>
      <c r="B286" s="129"/>
      <c r="C286" s="129" t="s">
        <v>1155</v>
      </c>
      <c r="D286" s="129" t="s">
        <v>1156</v>
      </c>
    </row>
    <row r="287" spans="1:4">
      <c r="A287" s="129" t="s">
        <v>1159</v>
      </c>
      <c r="B287" s="129"/>
      <c r="C287" s="129" t="s">
        <v>1155</v>
      </c>
      <c r="D287" s="129" t="s">
        <v>1156</v>
      </c>
    </row>
    <row r="288" spans="1:4">
      <c r="A288" s="129" t="s">
        <v>1160</v>
      </c>
      <c r="B288" s="129"/>
      <c r="C288" s="129" t="s">
        <v>1155</v>
      </c>
      <c r="D288" s="129" t="s">
        <v>1156</v>
      </c>
    </row>
    <row r="289" spans="1:4">
      <c r="A289" s="129" t="s">
        <v>1161</v>
      </c>
      <c r="B289" s="129"/>
      <c r="C289" s="129" t="s">
        <v>1155</v>
      </c>
      <c r="D289" s="129" t="s">
        <v>1156</v>
      </c>
    </row>
    <row r="290" spans="1:4">
      <c r="A290" s="129" t="s">
        <v>1162</v>
      </c>
      <c r="B290" s="129"/>
      <c r="C290" s="129" t="s">
        <v>1155</v>
      </c>
      <c r="D290" s="129" t="s">
        <v>1156</v>
      </c>
    </row>
    <row r="291" spans="1:4">
      <c r="A291" s="129" t="s">
        <v>1163</v>
      </c>
      <c r="B291" s="129"/>
      <c r="C291" s="129" t="s">
        <v>1155</v>
      </c>
      <c r="D291" s="129" t="s">
        <v>1156</v>
      </c>
    </row>
    <row r="292" spans="1:4">
      <c r="A292" s="129" t="s">
        <v>1164</v>
      </c>
      <c r="B292" s="129"/>
      <c r="C292" s="129" t="s">
        <v>1155</v>
      </c>
      <c r="D292" s="129" t="s">
        <v>1156</v>
      </c>
    </row>
    <row r="293" spans="1:4">
      <c r="A293" s="129" t="s">
        <v>1165</v>
      </c>
      <c r="B293" s="129"/>
      <c r="C293" s="129" t="s">
        <v>1155</v>
      </c>
      <c r="D293" s="129" t="s">
        <v>1156</v>
      </c>
    </row>
    <row r="294" spans="1:4">
      <c r="A294" s="129" t="s">
        <v>1166</v>
      </c>
      <c r="B294" s="129"/>
      <c r="C294" s="129" t="s">
        <v>1155</v>
      </c>
      <c r="D294" s="129" t="s">
        <v>1156</v>
      </c>
    </row>
    <row r="295" spans="1:4">
      <c r="A295" s="129" t="s">
        <v>1167</v>
      </c>
      <c r="B295" s="129"/>
      <c r="C295" s="129" t="s">
        <v>1155</v>
      </c>
      <c r="D295" s="129" t="s">
        <v>1156</v>
      </c>
    </row>
    <row r="296" spans="1:4">
      <c r="A296" s="129" t="s">
        <v>1168</v>
      </c>
      <c r="B296" s="129"/>
      <c r="C296" s="129" t="s">
        <v>1155</v>
      </c>
      <c r="D296" s="129" t="s">
        <v>1156</v>
      </c>
    </row>
    <row r="297" spans="1:4">
      <c r="A297" s="129" t="s">
        <v>1169</v>
      </c>
      <c r="B297" s="129"/>
      <c r="C297" s="129" t="s">
        <v>1155</v>
      </c>
      <c r="D297" s="129" t="s">
        <v>1156</v>
      </c>
    </row>
    <row r="298" spans="1:4">
      <c r="A298" s="129" t="s">
        <v>1170</v>
      </c>
      <c r="B298" s="129"/>
      <c r="C298" s="129" t="s">
        <v>1155</v>
      </c>
      <c r="D298" s="129" t="s">
        <v>1156</v>
      </c>
    </row>
    <row r="299" spans="1:4">
      <c r="A299" s="129" t="s">
        <v>1171</v>
      </c>
      <c r="B299" s="129"/>
      <c r="C299" s="129" t="s">
        <v>1155</v>
      </c>
      <c r="D299" s="129" t="s">
        <v>1156</v>
      </c>
    </row>
    <row r="300" spans="1:4">
      <c r="A300" s="129" t="s">
        <v>1172</v>
      </c>
      <c r="B300" s="129"/>
      <c r="C300" s="129" t="s">
        <v>1155</v>
      </c>
      <c r="D300" s="129" t="s">
        <v>1156</v>
      </c>
    </row>
    <row r="301" spans="1:4">
      <c r="A301" s="129" t="s">
        <v>1173</v>
      </c>
      <c r="B301" s="129"/>
      <c r="C301" s="129" t="s">
        <v>1155</v>
      </c>
      <c r="D301" s="129" t="s">
        <v>1156</v>
      </c>
    </row>
    <row r="302" spans="1:4">
      <c r="A302" s="129" t="s">
        <v>1174</v>
      </c>
      <c r="B302" s="129"/>
      <c r="C302" s="129" t="s">
        <v>1155</v>
      </c>
      <c r="D302" s="129" t="s">
        <v>1156</v>
      </c>
    </row>
    <row r="303" spans="1:4">
      <c r="A303" s="129" t="s">
        <v>1175</v>
      </c>
      <c r="B303" s="129"/>
      <c r="C303" s="129" t="s">
        <v>1155</v>
      </c>
      <c r="D303" s="129" t="s">
        <v>1156</v>
      </c>
    </row>
    <row r="304" spans="1:4">
      <c r="A304" s="129" t="s">
        <v>1176</v>
      </c>
      <c r="B304" s="129"/>
      <c r="C304" s="129" t="s">
        <v>1155</v>
      </c>
      <c r="D304" s="129" t="s">
        <v>1156</v>
      </c>
    </row>
    <row r="305" spans="1:4">
      <c r="A305" s="129" t="s">
        <v>1177</v>
      </c>
      <c r="B305" s="129"/>
      <c r="C305" s="129" t="s">
        <v>1155</v>
      </c>
      <c r="D305" s="129" t="s">
        <v>1156</v>
      </c>
    </row>
    <row r="306" spans="1:4">
      <c r="A306" s="129" t="s">
        <v>1178</v>
      </c>
      <c r="B306" s="129"/>
      <c r="C306" s="129" t="s">
        <v>1155</v>
      </c>
      <c r="D306" s="129" t="s">
        <v>1156</v>
      </c>
    </row>
    <row r="307" spans="1:4">
      <c r="A307" s="129" t="s">
        <v>1179</v>
      </c>
      <c r="B307" s="129"/>
      <c r="C307" s="129" t="s">
        <v>1155</v>
      </c>
      <c r="D307" s="129" t="s">
        <v>1156</v>
      </c>
    </row>
    <row r="308" spans="1:4">
      <c r="A308" s="129" t="s">
        <v>1180</v>
      </c>
      <c r="B308" s="129"/>
      <c r="C308" s="129" t="s">
        <v>1155</v>
      </c>
      <c r="D308" s="129" t="s">
        <v>1156</v>
      </c>
    </row>
    <row r="309" spans="1:4">
      <c r="A309" s="129" t="s">
        <v>1181</v>
      </c>
      <c r="B309" s="129"/>
      <c r="C309" s="129" t="s">
        <v>1155</v>
      </c>
      <c r="D309" s="129" t="s">
        <v>1156</v>
      </c>
    </row>
    <row r="310" spans="1:4">
      <c r="A310" s="129" t="s">
        <v>1182</v>
      </c>
      <c r="B310" s="129"/>
      <c r="C310" s="129" t="s">
        <v>1155</v>
      </c>
      <c r="D310" s="129" t="s">
        <v>1156</v>
      </c>
    </row>
    <row r="311" spans="1:4">
      <c r="A311" s="129" t="s">
        <v>1183</v>
      </c>
      <c r="B311" s="129"/>
      <c r="C311" s="129" t="s">
        <v>1155</v>
      </c>
      <c r="D311" s="129" t="s">
        <v>1156</v>
      </c>
    </row>
    <row r="312" spans="1:4">
      <c r="A312" s="129" t="s">
        <v>1184</v>
      </c>
      <c r="B312" s="129"/>
      <c r="C312" s="129" t="s">
        <v>1155</v>
      </c>
      <c r="D312" s="129" t="s">
        <v>1156</v>
      </c>
    </row>
    <row r="313" spans="1:4">
      <c r="A313" s="129" t="s">
        <v>1185</v>
      </c>
      <c r="B313" s="129"/>
      <c r="C313" s="129" t="s">
        <v>1155</v>
      </c>
      <c r="D313" s="129" t="s">
        <v>1156</v>
      </c>
    </row>
    <row r="314" spans="1:4">
      <c r="A314" s="129" t="s">
        <v>1186</v>
      </c>
      <c r="B314" s="129"/>
      <c r="C314" s="129" t="s">
        <v>1155</v>
      </c>
      <c r="D314" s="129" t="s">
        <v>1156</v>
      </c>
    </row>
    <row r="315" spans="1:4">
      <c r="A315" s="129" t="s">
        <v>1187</v>
      </c>
      <c r="B315" s="129"/>
      <c r="C315" s="129" t="s">
        <v>1155</v>
      </c>
      <c r="D315" s="129" t="s">
        <v>1156</v>
      </c>
    </row>
    <row r="316" spans="1:4">
      <c r="A316" s="129" t="s">
        <v>1188</v>
      </c>
      <c r="B316" s="129"/>
      <c r="C316" s="129" t="s">
        <v>1155</v>
      </c>
      <c r="D316" s="129" t="s">
        <v>1156</v>
      </c>
    </row>
    <row r="317" spans="1:4">
      <c r="A317" s="129" t="s">
        <v>1189</v>
      </c>
      <c r="B317" s="129"/>
      <c r="C317" s="129" t="s">
        <v>1155</v>
      </c>
      <c r="D317" s="129" t="s">
        <v>1156</v>
      </c>
    </row>
    <row r="318" spans="1:4">
      <c r="A318" s="129" t="s">
        <v>1190</v>
      </c>
      <c r="B318" s="129"/>
      <c r="C318" s="129" t="s">
        <v>1155</v>
      </c>
      <c r="D318" s="129" t="s">
        <v>1156</v>
      </c>
    </row>
    <row r="319" spans="1:4">
      <c r="A319" s="129" t="s">
        <v>1191</v>
      </c>
      <c r="B319" s="129"/>
      <c r="C319" s="129" t="s">
        <v>1155</v>
      </c>
      <c r="D319" s="129" t="s">
        <v>1156</v>
      </c>
    </row>
    <row r="320" spans="1:4">
      <c r="A320" s="129" t="s">
        <v>1192</v>
      </c>
      <c r="B320" s="129"/>
      <c r="C320" s="129" t="s">
        <v>1155</v>
      </c>
      <c r="D320" s="129" t="s">
        <v>1156</v>
      </c>
    </row>
    <row r="321" spans="1:4">
      <c r="A321" s="129" t="s">
        <v>1193</v>
      </c>
      <c r="B321" s="129"/>
      <c r="C321" s="129" t="s">
        <v>1155</v>
      </c>
      <c r="D321" s="129" t="s">
        <v>1156</v>
      </c>
    </row>
    <row r="322" spans="1:4">
      <c r="A322" s="129" t="s">
        <v>1194</v>
      </c>
      <c r="B322" s="129"/>
      <c r="C322" s="129" t="s">
        <v>1155</v>
      </c>
      <c r="D322" s="129" t="s">
        <v>1156</v>
      </c>
    </row>
    <row r="323" spans="1:4">
      <c r="A323" s="129" t="s">
        <v>1195</v>
      </c>
      <c r="B323" s="129"/>
      <c r="C323" s="129" t="s">
        <v>1155</v>
      </c>
      <c r="D323" s="129" t="s">
        <v>1156</v>
      </c>
    </row>
    <row r="324" spans="1:4">
      <c r="A324" s="129" t="s">
        <v>1196</v>
      </c>
      <c r="B324" s="129"/>
      <c r="C324" s="129" t="s">
        <v>1155</v>
      </c>
      <c r="D324" s="129" t="s">
        <v>1156</v>
      </c>
    </row>
    <row r="325" spans="1:4">
      <c r="A325" s="129" t="s">
        <v>1197</v>
      </c>
      <c r="B325" s="129"/>
      <c r="C325" s="129" t="s">
        <v>1155</v>
      </c>
      <c r="D325" s="129" t="s">
        <v>1156</v>
      </c>
    </row>
    <row r="326" spans="1:4">
      <c r="A326" s="129" t="s">
        <v>1198</v>
      </c>
      <c r="B326" s="129"/>
      <c r="C326" s="129" t="s">
        <v>1155</v>
      </c>
      <c r="D326" s="129" t="s">
        <v>1156</v>
      </c>
    </row>
    <row r="327" spans="1:4">
      <c r="A327" s="129" t="s">
        <v>1199</v>
      </c>
      <c r="B327" s="129"/>
      <c r="C327" s="129" t="s">
        <v>1155</v>
      </c>
      <c r="D327" s="129" t="s">
        <v>1156</v>
      </c>
    </row>
    <row r="328" spans="1:4">
      <c r="A328" s="129" t="s">
        <v>621</v>
      </c>
      <c r="B328" s="129"/>
      <c r="C328" s="129" t="s">
        <v>1155</v>
      </c>
      <c r="D328" s="129" t="s">
        <v>1156</v>
      </c>
    </row>
    <row r="329" spans="1:4">
      <c r="A329" s="129" t="s">
        <v>676</v>
      </c>
      <c r="B329" s="129"/>
      <c r="C329" s="129" t="s">
        <v>1155</v>
      </c>
      <c r="D329" s="129" t="s">
        <v>1156</v>
      </c>
    </row>
    <row r="330" spans="1:4">
      <c r="A330" s="129" t="s">
        <v>704</v>
      </c>
      <c r="B330" s="129"/>
      <c r="C330" s="129" t="s">
        <v>149</v>
      </c>
      <c r="D330" s="129" t="s">
        <v>150</v>
      </c>
    </row>
    <row r="331" spans="1:4">
      <c r="A331" s="129" t="s">
        <v>1259</v>
      </c>
      <c r="B331" s="129"/>
      <c r="C331" s="129" t="s">
        <v>149</v>
      </c>
      <c r="D331" s="129" t="s">
        <v>150</v>
      </c>
    </row>
    <row r="332" spans="1:4">
      <c r="A332" s="129" t="s">
        <v>1354</v>
      </c>
      <c r="B332" s="129"/>
      <c r="C332" s="129" t="s">
        <v>149</v>
      </c>
      <c r="D332" s="129" t="s">
        <v>150</v>
      </c>
    </row>
    <row r="333" spans="1:4">
      <c r="A333" s="129" t="s">
        <v>713</v>
      </c>
      <c r="B333" s="129"/>
      <c r="C333" s="129" t="s">
        <v>149</v>
      </c>
      <c r="D333" s="129" t="s">
        <v>150</v>
      </c>
    </row>
    <row r="334" spans="1:4">
      <c r="A334" s="129" t="s">
        <v>679</v>
      </c>
      <c r="B334" s="129"/>
      <c r="C334" s="129" t="s">
        <v>149</v>
      </c>
      <c r="D334" s="129" t="s">
        <v>150</v>
      </c>
    </row>
    <row r="335" spans="1:4">
      <c r="A335" s="129" t="s">
        <v>1694</v>
      </c>
      <c r="B335" s="129"/>
      <c r="C335" s="129" t="s">
        <v>149</v>
      </c>
      <c r="D335" s="129" t="s">
        <v>150</v>
      </c>
    </row>
    <row r="336" spans="1:4">
      <c r="A336" s="129" t="s">
        <v>1699</v>
      </c>
      <c r="B336" s="129"/>
      <c r="C336" s="129" t="s">
        <v>149</v>
      </c>
      <c r="D336" s="129" t="s">
        <v>150</v>
      </c>
    </row>
    <row r="337" spans="1:4">
      <c r="A337" s="129" t="s">
        <v>1695</v>
      </c>
      <c r="B337" s="129"/>
      <c r="C337" s="129" t="s">
        <v>149</v>
      </c>
      <c r="D337" s="129" t="s">
        <v>150</v>
      </c>
    </row>
    <row r="338" spans="1:4">
      <c r="A338" s="129" t="s">
        <v>714</v>
      </c>
      <c r="B338" s="129"/>
      <c r="C338" s="129" t="s">
        <v>149</v>
      </c>
      <c r="D338" s="129" t="s">
        <v>150</v>
      </c>
    </row>
    <row r="339" spans="1:4">
      <c r="A339" s="129" t="s">
        <v>1697</v>
      </c>
      <c r="B339" s="129"/>
      <c r="C339" s="129" t="s">
        <v>149</v>
      </c>
      <c r="D339" s="129" t="s">
        <v>150</v>
      </c>
    </row>
    <row r="340" spans="1:4">
      <c r="A340" s="129" t="s">
        <v>1357</v>
      </c>
      <c r="B340" s="129"/>
      <c r="C340" s="129" t="s">
        <v>149</v>
      </c>
      <c r="D340" s="129" t="s">
        <v>150</v>
      </c>
    </row>
    <row r="341" spans="1:4">
      <c r="A341" s="129" t="s">
        <v>1693</v>
      </c>
      <c r="B341" s="129"/>
      <c r="C341" s="129" t="s">
        <v>149</v>
      </c>
      <c r="D341" s="129" t="s">
        <v>150</v>
      </c>
    </row>
    <row r="342" spans="1:4">
      <c r="A342" s="129" t="s">
        <v>1698</v>
      </c>
      <c r="B342" s="129"/>
      <c r="C342" s="129" t="s">
        <v>149</v>
      </c>
      <c r="D342" s="129" t="s">
        <v>150</v>
      </c>
    </row>
    <row r="343" spans="1:4">
      <c r="A343" s="129" t="s">
        <v>1184</v>
      </c>
      <c r="B343" s="129"/>
      <c r="C343" s="129" t="s">
        <v>149</v>
      </c>
      <c r="D343" s="129" t="s">
        <v>150</v>
      </c>
    </row>
    <row r="344" spans="1:4">
      <c r="A344" s="129" t="s">
        <v>1696</v>
      </c>
      <c r="B344" s="129"/>
      <c r="C344" s="129" t="s">
        <v>149</v>
      </c>
      <c r="D344" s="129" t="s">
        <v>150</v>
      </c>
    </row>
    <row r="345" spans="1:4">
      <c r="A345" s="129" t="s">
        <v>678</v>
      </c>
      <c r="B345" s="129"/>
      <c r="C345" s="129" t="s">
        <v>149</v>
      </c>
      <c r="D345" s="129" t="s">
        <v>150</v>
      </c>
    </row>
    <row r="346" spans="1:4">
      <c r="A346" s="129" t="s">
        <v>1189</v>
      </c>
      <c r="B346" s="129"/>
      <c r="C346" s="129" t="s">
        <v>149</v>
      </c>
      <c r="D346" s="129" t="s">
        <v>150</v>
      </c>
    </row>
    <row r="347" spans="1:4">
      <c r="A347" s="129" t="s">
        <v>1190</v>
      </c>
      <c r="B347" s="129"/>
      <c r="C347" s="129" t="s">
        <v>149</v>
      </c>
      <c r="D347" s="129" t="s">
        <v>150</v>
      </c>
    </row>
    <row r="348" spans="1:4">
      <c r="A348" s="129" t="s">
        <v>1192</v>
      </c>
      <c r="B348" s="129"/>
      <c r="C348" s="129" t="s">
        <v>149</v>
      </c>
      <c r="D348" s="129" t="s">
        <v>150</v>
      </c>
    </row>
    <row r="349" spans="1:4">
      <c r="A349" s="129" t="s">
        <v>1194</v>
      </c>
      <c r="B349" s="129"/>
      <c r="C349" s="129" t="s">
        <v>149</v>
      </c>
      <c r="D349" s="129" t="s">
        <v>150</v>
      </c>
    </row>
    <row r="350" spans="1:4">
      <c r="A350" s="129" t="s">
        <v>1196</v>
      </c>
      <c r="B350" s="129"/>
      <c r="C350" s="129" t="s">
        <v>149</v>
      </c>
      <c r="D350" s="129" t="s">
        <v>150</v>
      </c>
    </row>
    <row r="351" spans="1:4">
      <c r="A351" s="129" t="s">
        <v>1197</v>
      </c>
      <c r="B351" s="129"/>
      <c r="C351" s="129" t="s">
        <v>149</v>
      </c>
      <c r="D351" s="129" t="s">
        <v>150</v>
      </c>
    </row>
    <row r="352" spans="1:4">
      <c r="A352" s="129" t="s">
        <v>1198</v>
      </c>
      <c r="B352" s="129"/>
      <c r="C352" s="129" t="s">
        <v>149</v>
      </c>
      <c r="D352" s="129" t="s">
        <v>150</v>
      </c>
    </row>
    <row r="353" spans="1:4">
      <c r="A353" s="129" t="s">
        <v>676</v>
      </c>
      <c r="B353" s="129"/>
      <c r="C353" s="129" t="s">
        <v>149</v>
      </c>
      <c r="D353" s="129" t="s">
        <v>150</v>
      </c>
    </row>
    <row r="354" spans="1:4">
      <c r="A354" s="129" t="s">
        <v>701</v>
      </c>
      <c r="B354" s="129"/>
      <c r="C354" s="129" t="s">
        <v>149</v>
      </c>
      <c r="D354" s="129" t="s">
        <v>150</v>
      </c>
    </row>
    <row r="355" spans="1:4">
      <c r="A355" s="129" t="s">
        <v>1137</v>
      </c>
      <c r="B355" s="129"/>
      <c r="C355" s="129" t="s">
        <v>66</v>
      </c>
      <c r="D355" s="129" t="s">
        <v>67</v>
      </c>
    </row>
    <row r="356" spans="1:4">
      <c r="A356" s="129" t="s">
        <v>789</v>
      </c>
      <c r="B356" s="129"/>
      <c r="C356" s="129" t="s">
        <v>66</v>
      </c>
      <c r="D356" s="129" t="s">
        <v>67</v>
      </c>
    </row>
    <row r="357" spans="1:4">
      <c r="A357" s="129" t="s">
        <v>1138</v>
      </c>
      <c r="B357" s="129"/>
      <c r="C357" s="129" t="s">
        <v>66</v>
      </c>
      <c r="D357" s="129" t="s">
        <v>67</v>
      </c>
    </row>
    <row r="358" spans="1:4">
      <c r="A358" s="129" t="s">
        <v>790</v>
      </c>
      <c r="B358" s="129"/>
      <c r="C358" s="129" t="s">
        <v>66</v>
      </c>
      <c r="D358" s="129" t="s">
        <v>67</v>
      </c>
    </row>
    <row r="359" spans="1:4">
      <c r="A359" s="129" t="s">
        <v>644</v>
      </c>
      <c r="B359" s="129"/>
      <c r="C359" s="129" t="s">
        <v>66</v>
      </c>
      <c r="D359" s="129" t="s">
        <v>67</v>
      </c>
    </row>
    <row r="360" spans="1:4">
      <c r="A360" s="129" t="s">
        <v>1139</v>
      </c>
      <c r="B360" s="129"/>
      <c r="C360" s="129" t="s">
        <v>66</v>
      </c>
      <c r="D360" s="129" t="s">
        <v>67</v>
      </c>
    </row>
    <row r="361" spans="1:4">
      <c r="A361" s="129" t="s">
        <v>1140</v>
      </c>
      <c r="B361" s="129"/>
      <c r="C361" s="129" t="s">
        <v>66</v>
      </c>
      <c r="D361" s="129" t="s">
        <v>67</v>
      </c>
    </row>
    <row r="362" spans="1:4">
      <c r="A362" s="129" t="s">
        <v>1141</v>
      </c>
      <c r="B362" s="129"/>
      <c r="C362" s="129" t="s">
        <v>66</v>
      </c>
      <c r="D362" s="129" t="s">
        <v>67</v>
      </c>
    </row>
    <row r="363" spans="1:4">
      <c r="A363" s="129" t="s">
        <v>1142</v>
      </c>
      <c r="B363" s="129"/>
      <c r="C363" s="129" t="s">
        <v>66</v>
      </c>
      <c r="D363" s="129" t="s">
        <v>67</v>
      </c>
    </row>
    <row r="364" spans="1:4">
      <c r="A364" s="129" t="s">
        <v>645</v>
      </c>
      <c r="B364" s="129"/>
      <c r="C364" s="129" t="s">
        <v>66</v>
      </c>
      <c r="D364" s="129" t="s">
        <v>67</v>
      </c>
    </row>
    <row r="365" spans="1:4">
      <c r="A365" s="129" t="s">
        <v>683</v>
      </c>
      <c r="B365" s="129"/>
      <c r="C365" s="129" t="s">
        <v>66</v>
      </c>
      <c r="D365" s="129" t="s">
        <v>67</v>
      </c>
    </row>
    <row r="366" spans="1:4">
      <c r="A366" s="129" t="s">
        <v>1143</v>
      </c>
      <c r="B366" s="129"/>
      <c r="C366" s="129" t="s">
        <v>66</v>
      </c>
      <c r="D366" s="129" t="s">
        <v>67</v>
      </c>
    </row>
    <row r="367" spans="1:4">
      <c r="A367" s="129" t="s">
        <v>1144</v>
      </c>
      <c r="B367" s="129"/>
      <c r="C367" s="129" t="s">
        <v>66</v>
      </c>
      <c r="D367" s="129" t="s">
        <v>67</v>
      </c>
    </row>
    <row r="368" spans="1:4">
      <c r="A368" s="129" t="s">
        <v>787</v>
      </c>
      <c r="B368" s="129"/>
      <c r="C368" s="129" t="s">
        <v>66</v>
      </c>
      <c r="D368" s="129" t="s">
        <v>67</v>
      </c>
    </row>
    <row r="369" spans="1:4">
      <c r="A369" s="129" t="s">
        <v>1145</v>
      </c>
      <c r="B369" s="129"/>
      <c r="C369" s="129" t="s">
        <v>66</v>
      </c>
      <c r="D369" s="129" t="s">
        <v>67</v>
      </c>
    </row>
    <row r="370" spans="1:4">
      <c r="A370" s="129" t="s">
        <v>788</v>
      </c>
      <c r="B370" s="129"/>
      <c r="C370" s="129" t="s">
        <v>66</v>
      </c>
      <c r="D370" s="129" t="s">
        <v>67</v>
      </c>
    </row>
    <row r="371" spans="1:4">
      <c r="A371" s="129" t="s">
        <v>684</v>
      </c>
      <c r="B371" s="129"/>
      <c r="C371" s="129" t="s">
        <v>66</v>
      </c>
      <c r="D371" s="129" t="s">
        <v>67</v>
      </c>
    </row>
    <row r="372" spans="1:4">
      <c r="A372" s="129" t="s">
        <v>1146</v>
      </c>
      <c r="B372" s="129"/>
      <c r="C372" s="129" t="s">
        <v>66</v>
      </c>
      <c r="D372" s="129" t="s">
        <v>67</v>
      </c>
    </row>
    <row r="373" spans="1:4">
      <c r="A373" s="129" t="s">
        <v>685</v>
      </c>
      <c r="B373" s="129"/>
      <c r="C373" s="129" t="s">
        <v>66</v>
      </c>
      <c r="D373" s="129" t="s">
        <v>67</v>
      </c>
    </row>
    <row r="374" spans="1:4">
      <c r="A374" s="129" t="s">
        <v>1147</v>
      </c>
      <c r="B374" s="129"/>
      <c r="C374" s="129" t="s">
        <v>66</v>
      </c>
      <c r="D374" s="129" t="s">
        <v>67</v>
      </c>
    </row>
    <row r="375" spans="1:4">
      <c r="A375" s="129" t="s">
        <v>1148</v>
      </c>
      <c r="B375" s="129"/>
      <c r="C375" s="129" t="s">
        <v>66</v>
      </c>
      <c r="D375" s="129" t="s">
        <v>67</v>
      </c>
    </row>
    <row r="376" spans="1:4">
      <c r="A376" s="129" t="s">
        <v>1149</v>
      </c>
      <c r="B376" s="129"/>
      <c r="C376" s="129" t="s">
        <v>66</v>
      </c>
      <c r="D376" s="129" t="s">
        <v>67</v>
      </c>
    </row>
    <row r="377" spans="1:4">
      <c r="A377" s="129" t="s">
        <v>1150</v>
      </c>
      <c r="B377" s="129"/>
      <c r="C377" s="129" t="s">
        <v>66</v>
      </c>
      <c r="D377" s="129" t="s">
        <v>67</v>
      </c>
    </row>
    <row r="378" spans="1:4">
      <c r="A378" s="129" t="s">
        <v>1151</v>
      </c>
      <c r="B378" s="129"/>
      <c r="C378" s="129" t="s">
        <v>66</v>
      </c>
      <c r="D378" s="129" t="s">
        <v>67</v>
      </c>
    </row>
    <row r="379" spans="1:4">
      <c r="A379" s="129" t="s">
        <v>1152</v>
      </c>
      <c r="B379" s="129"/>
      <c r="C379" s="129" t="s">
        <v>66</v>
      </c>
      <c r="D379" s="129" t="s">
        <v>67</v>
      </c>
    </row>
    <row r="380" spans="1:4">
      <c r="A380" s="129" t="s">
        <v>1153</v>
      </c>
      <c r="B380" s="129"/>
      <c r="C380" s="129" t="s">
        <v>66</v>
      </c>
      <c r="D380" s="129" t="s">
        <v>67</v>
      </c>
    </row>
    <row r="381" spans="1:4">
      <c r="A381" s="129" t="s">
        <v>1154</v>
      </c>
      <c r="B381" s="129"/>
      <c r="C381" s="129" t="s">
        <v>66</v>
      </c>
      <c r="D381" s="129" t="s">
        <v>67</v>
      </c>
    </row>
    <row r="382" spans="1:4">
      <c r="A382" s="129" t="s">
        <v>1691</v>
      </c>
      <c r="B382" s="129"/>
      <c r="C382" s="129" t="s">
        <v>152</v>
      </c>
      <c r="D382" s="129" t="s">
        <v>1681</v>
      </c>
    </row>
    <row r="383" spans="1:4">
      <c r="A383" s="129" t="s">
        <v>1680</v>
      </c>
      <c r="B383" s="129"/>
      <c r="C383" s="129" t="s">
        <v>152</v>
      </c>
      <c r="D383" s="129" t="s">
        <v>1681</v>
      </c>
    </row>
    <row r="384" spans="1:4">
      <c r="A384" s="129" t="s">
        <v>1682</v>
      </c>
      <c r="B384" s="129"/>
      <c r="C384" s="129" t="s">
        <v>152</v>
      </c>
      <c r="D384" s="129" t="s">
        <v>1681</v>
      </c>
    </row>
    <row r="385" spans="1:4">
      <c r="A385" s="129" t="s">
        <v>1692</v>
      </c>
      <c r="B385" s="129"/>
      <c r="C385" s="129" t="s">
        <v>152</v>
      </c>
      <c r="D385" s="129" t="s">
        <v>1681</v>
      </c>
    </row>
    <row r="386" spans="1:4">
      <c r="A386" s="129" t="s">
        <v>1685</v>
      </c>
      <c r="B386" s="129"/>
      <c r="C386" s="129" t="s">
        <v>152</v>
      </c>
      <c r="D386" s="129" t="s">
        <v>1681</v>
      </c>
    </row>
    <row r="387" spans="1:4">
      <c r="A387" s="129" t="s">
        <v>1686</v>
      </c>
      <c r="B387" s="129"/>
      <c r="C387" s="129" t="s">
        <v>152</v>
      </c>
      <c r="D387" s="129" t="s">
        <v>1681</v>
      </c>
    </row>
    <row r="388" spans="1:4">
      <c r="A388" s="129" t="s">
        <v>1683</v>
      </c>
      <c r="B388" s="129"/>
      <c r="C388" s="129" t="s">
        <v>152</v>
      </c>
      <c r="D388" s="129" t="s">
        <v>1681</v>
      </c>
    </row>
    <row r="389" spans="1:4">
      <c r="A389" s="129" t="s">
        <v>1689</v>
      </c>
      <c r="B389" s="129"/>
      <c r="C389" s="129" t="s">
        <v>152</v>
      </c>
      <c r="D389" s="129" t="s">
        <v>1681</v>
      </c>
    </row>
    <row r="390" spans="1:4">
      <c r="A390" s="129" t="s">
        <v>769</v>
      </c>
      <c r="B390" s="129"/>
      <c r="C390" s="129" t="s">
        <v>152</v>
      </c>
      <c r="D390" s="129" t="s">
        <v>1681</v>
      </c>
    </row>
    <row r="391" spans="1:4">
      <c r="A391" s="129" t="s">
        <v>1687</v>
      </c>
      <c r="B391" s="129"/>
      <c r="C391" s="129" t="s">
        <v>152</v>
      </c>
      <c r="D391" s="129" t="s">
        <v>1681</v>
      </c>
    </row>
    <row r="392" spans="1:4">
      <c r="A392" s="129" t="s">
        <v>1684</v>
      </c>
      <c r="B392" s="129"/>
      <c r="C392" s="129" t="s">
        <v>152</v>
      </c>
      <c r="D392" s="129" t="s">
        <v>1681</v>
      </c>
    </row>
    <row r="393" spans="1:4">
      <c r="A393" s="129" t="s">
        <v>801</v>
      </c>
      <c r="B393" s="129"/>
      <c r="C393" s="129" t="s">
        <v>152</v>
      </c>
      <c r="D393" s="129" t="s">
        <v>1681</v>
      </c>
    </row>
    <row r="394" spans="1:4">
      <c r="A394" s="129" t="s">
        <v>1690</v>
      </c>
      <c r="B394" s="129"/>
      <c r="C394" s="129" t="s">
        <v>152</v>
      </c>
      <c r="D394" s="129" t="s">
        <v>1681</v>
      </c>
    </row>
    <row r="395" spans="1:4">
      <c r="A395" s="129" t="s">
        <v>646</v>
      </c>
      <c r="B395" s="129"/>
      <c r="C395" s="129" t="s">
        <v>152</v>
      </c>
      <c r="D395" s="129" t="s">
        <v>1681</v>
      </c>
    </row>
    <row r="396" spans="1:4">
      <c r="A396" s="129" t="s">
        <v>1688</v>
      </c>
      <c r="B396" s="129"/>
      <c r="C396" s="129" t="s">
        <v>152</v>
      </c>
      <c r="D396" s="129" t="s">
        <v>1681</v>
      </c>
    </row>
    <row r="397" spans="1:4">
      <c r="A397" s="129" t="s">
        <v>647</v>
      </c>
      <c r="B397" s="129"/>
      <c r="C397" s="129" t="s">
        <v>152</v>
      </c>
      <c r="D397" s="129" t="s">
        <v>1681</v>
      </c>
    </row>
    <row r="398" spans="1:4">
      <c r="A398" s="129" t="s">
        <v>648</v>
      </c>
      <c r="B398" s="129"/>
      <c r="C398" s="129" t="s">
        <v>152</v>
      </c>
      <c r="D398" s="129" t="s">
        <v>1681</v>
      </c>
    </row>
    <row r="399" spans="1:4">
      <c r="A399" s="129" t="s">
        <v>967</v>
      </c>
      <c r="B399" s="129"/>
      <c r="C399" s="129" t="s">
        <v>41</v>
      </c>
      <c r="D399" s="129" t="s">
        <v>42</v>
      </c>
    </row>
    <row r="400" spans="1:4">
      <c r="A400" s="129" t="s">
        <v>968</v>
      </c>
      <c r="B400" s="129"/>
      <c r="C400" s="129" t="s">
        <v>41</v>
      </c>
      <c r="D400" s="129" t="s">
        <v>42</v>
      </c>
    </row>
    <row r="401" spans="1:4">
      <c r="A401" s="129" t="s">
        <v>969</v>
      </c>
      <c r="B401" s="129"/>
      <c r="C401" s="129" t="s">
        <v>41</v>
      </c>
      <c r="D401" s="129" t="s">
        <v>42</v>
      </c>
    </row>
    <row r="402" spans="1:4">
      <c r="A402" s="129" t="s">
        <v>970</v>
      </c>
      <c r="B402" s="129"/>
      <c r="C402" s="129" t="s">
        <v>41</v>
      </c>
      <c r="D402" s="129" t="s">
        <v>42</v>
      </c>
    </row>
    <row r="403" spans="1:4">
      <c r="A403" s="129" t="s">
        <v>971</v>
      </c>
      <c r="B403" s="129"/>
      <c r="C403" s="129" t="s">
        <v>41</v>
      </c>
      <c r="D403" s="129" t="s">
        <v>42</v>
      </c>
    </row>
    <row r="404" spans="1:4">
      <c r="A404" s="129" t="s">
        <v>972</v>
      </c>
      <c r="B404" s="129"/>
      <c r="C404" s="129" t="s">
        <v>41</v>
      </c>
      <c r="D404" s="129" t="s">
        <v>42</v>
      </c>
    </row>
    <row r="405" spans="1:4">
      <c r="A405" s="129" t="s">
        <v>973</v>
      </c>
      <c r="B405" s="129"/>
      <c r="C405" s="129" t="s">
        <v>41</v>
      </c>
      <c r="D405" s="129" t="s">
        <v>42</v>
      </c>
    </row>
    <row r="406" spans="1:4">
      <c r="A406" s="129" t="s">
        <v>974</v>
      </c>
      <c r="B406" s="129"/>
      <c r="C406" s="129" t="s">
        <v>41</v>
      </c>
      <c r="D406" s="129" t="s">
        <v>42</v>
      </c>
    </row>
    <row r="407" spans="1:4">
      <c r="A407" s="129" t="s">
        <v>975</v>
      </c>
      <c r="B407" s="129"/>
      <c r="C407" s="129" t="s">
        <v>41</v>
      </c>
      <c r="D407" s="129" t="s">
        <v>42</v>
      </c>
    </row>
    <row r="408" spans="1:4">
      <c r="A408" s="129" t="s">
        <v>976</v>
      </c>
      <c r="B408" s="129"/>
      <c r="C408" s="129" t="s">
        <v>41</v>
      </c>
      <c r="D408" s="129" t="s">
        <v>42</v>
      </c>
    </row>
    <row r="409" spans="1:4">
      <c r="A409" s="129" t="s">
        <v>977</v>
      </c>
      <c r="B409" s="129"/>
      <c r="C409" s="129" t="s">
        <v>41</v>
      </c>
      <c r="D409" s="129" t="s">
        <v>42</v>
      </c>
    </row>
    <row r="410" spans="1:4">
      <c r="A410" s="129" t="s">
        <v>978</v>
      </c>
      <c r="B410" s="129"/>
      <c r="C410" s="129" t="s">
        <v>41</v>
      </c>
      <c r="D410" s="129" t="s">
        <v>42</v>
      </c>
    </row>
    <row r="411" spans="1:4">
      <c r="A411" s="129" t="s">
        <v>979</v>
      </c>
      <c r="B411" s="129"/>
      <c r="C411" s="129" t="s">
        <v>41</v>
      </c>
      <c r="D411" s="129" t="s">
        <v>42</v>
      </c>
    </row>
    <row r="412" spans="1:4">
      <c r="A412" s="129" t="s">
        <v>980</v>
      </c>
      <c r="B412" s="129"/>
      <c r="C412" s="129" t="s">
        <v>41</v>
      </c>
      <c r="D412" s="129" t="s">
        <v>42</v>
      </c>
    </row>
    <row r="413" spans="1:4">
      <c r="A413" s="129" t="s">
        <v>981</v>
      </c>
      <c r="B413" s="129"/>
      <c r="C413" s="129" t="s">
        <v>41</v>
      </c>
      <c r="D413" s="129" t="s">
        <v>42</v>
      </c>
    </row>
    <row r="414" spans="1:4">
      <c r="A414" s="129" t="s">
        <v>982</v>
      </c>
      <c r="B414" s="129"/>
      <c r="C414" s="129" t="s">
        <v>41</v>
      </c>
      <c r="D414" s="129" t="s">
        <v>42</v>
      </c>
    </row>
    <row r="415" spans="1:4">
      <c r="A415" s="129" t="s">
        <v>983</v>
      </c>
      <c r="B415" s="129"/>
      <c r="C415" s="129" t="s">
        <v>41</v>
      </c>
      <c r="D415" s="129" t="s">
        <v>42</v>
      </c>
    </row>
    <row r="416" spans="1:4">
      <c r="A416" s="129" t="s">
        <v>984</v>
      </c>
      <c r="B416" s="129"/>
      <c r="C416" s="129" t="s">
        <v>41</v>
      </c>
      <c r="D416" s="129" t="s">
        <v>42</v>
      </c>
    </row>
    <row r="417" spans="1:4">
      <c r="A417" s="129" t="s">
        <v>985</v>
      </c>
      <c r="B417" s="129"/>
      <c r="C417" s="129" t="s">
        <v>41</v>
      </c>
      <c r="D417" s="129" t="s">
        <v>42</v>
      </c>
    </row>
    <row r="418" spans="1:4">
      <c r="A418" s="129" t="s">
        <v>986</v>
      </c>
      <c r="B418" s="129"/>
      <c r="C418" s="129" t="s">
        <v>41</v>
      </c>
      <c r="D418" s="129" t="s">
        <v>42</v>
      </c>
    </row>
    <row r="419" spans="1:4">
      <c r="A419" s="129" t="s">
        <v>987</v>
      </c>
      <c r="B419" s="129"/>
      <c r="C419" s="129" t="s">
        <v>41</v>
      </c>
      <c r="D419" s="129" t="s">
        <v>42</v>
      </c>
    </row>
    <row r="420" spans="1:4">
      <c r="A420" s="129" t="s">
        <v>988</v>
      </c>
      <c r="B420" s="129"/>
      <c r="C420" s="129" t="s">
        <v>41</v>
      </c>
      <c r="D420" s="129" t="s">
        <v>42</v>
      </c>
    </row>
    <row r="421" spans="1:4">
      <c r="A421" s="129" t="s">
        <v>989</v>
      </c>
      <c r="B421" s="129"/>
      <c r="C421" s="129" t="s">
        <v>41</v>
      </c>
      <c r="D421" s="129" t="s">
        <v>42</v>
      </c>
    </row>
    <row r="422" spans="1:4">
      <c r="A422" s="129" t="s">
        <v>990</v>
      </c>
      <c r="B422" s="129"/>
      <c r="C422" s="129" t="s">
        <v>41</v>
      </c>
      <c r="D422" s="129" t="s">
        <v>42</v>
      </c>
    </row>
    <row r="423" spans="1:4">
      <c r="A423" s="129" t="s">
        <v>991</v>
      </c>
      <c r="B423" s="129"/>
      <c r="C423" s="129" t="s">
        <v>41</v>
      </c>
      <c r="D423" s="129" t="s">
        <v>42</v>
      </c>
    </row>
    <row r="424" spans="1:4">
      <c r="A424" s="129" t="s">
        <v>992</v>
      </c>
      <c r="B424" s="129"/>
      <c r="C424" s="129" t="s">
        <v>41</v>
      </c>
      <c r="D424" s="129" t="s">
        <v>42</v>
      </c>
    </row>
    <row r="425" spans="1:4">
      <c r="A425" s="129" t="s">
        <v>993</v>
      </c>
      <c r="B425" s="129"/>
      <c r="C425" s="129" t="s">
        <v>41</v>
      </c>
      <c r="D425" s="129" t="s">
        <v>42</v>
      </c>
    </row>
    <row r="426" spans="1:4">
      <c r="A426" s="129" t="s">
        <v>994</v>
      </c>
      <c r="B426" s="129"/>
      <c r="C426" s="129" t="s">
        <v>41</v>
      </c>
      <c r="D426" s="129" t="s">
        <v>42</v>
      </c>
    </row>
    <row r="427" spans="1:4">
      <c r="A427" s="129" t="s">
        <v>995</v>
      </c>
      <c r="B427" s="129"/>
      <c r="C427" s="129" t="s">
        <v>41</v>
      </c>
      <c r="D427" s="129" t="s">
        <v>42</v>
      </c>
    </row>
    <row r="428" spans="1:4">
      <c r="A428" s="129" t="s">
        <v>996</v>
      </c>
      <c r="B428" s="129"/>
      <c r="C428" s="129" t="s">
        <v>41</v>
      </c>
      <c r="D428" s="129" t="s">
        <v>42</v>
      </c>
    </row>
    <row r="429" spans="1:4">
      <c r="A429" s="129" t="s">
        <v>997</v>
      </c>
      <c r="B429" s="129"/>
      <c r="C429" s="129" t="s">
        <v>41</v>
      </c>
      <c r="D429" s="129" t="s">
        <v>42</v>
      </c>
    </row>
    <row r="430" spans="1:4">
      <c r="A430" s="129" t="s">
        <v>998</v>
      </c>
      <c r="B430" s="129"/>
      <c r="C430" s="129" t="s">
        <v>41</v>
      </c>
      <c r="D430" s="129" t="s">
        <v>42</v>
      </c>
    </row>
    <row r="431" spans="1:4">
      <c r="A431" s="129" t="s">
        <v>999</v>
      </c>
      <c r="B431" s="129"/>
      <c r="C431" s="129" t="s">
        <v>41</v>
      </c>
      <c r="D431" s="129" t="s">
        <v>42</v>
      </c>
    </row>
    <row r="432" spans="1:4">
      <c r="A432" s="129" t="s">
        <v>1000</v>
      </c>
      <c r="B432" s="129"/>
      <c r="C432" s="129" t="s">
        <v>41</v>
      </c>
      <c r="D432" s="129" t="s">
        <v>42</v>
      </c>
    </row>
    <row r="433" spans="1:4">
      <c r="A433" s="129" t="s">
        <v>1001</v>
      </c>
      <c r="B433" s="129"/>
      <c r="C433" s="129" t="s">
        <v>41</v>
      </c>
      <c r="D433" s="129" t="s">
        <v>42</v>
      </c>
    </row>
    <row r="434" spans="1:4">
      <c r="A434" s="129" t="s">
        <v>1002</v>
      </c>
      <c r="B434" s="129"/>
      <c r="C434" s="129" t="s">
        <v>41</v>
      </c>
      <c r="D434" s="129" t="s">
        <v>42</v>
      </c>
    </row>
    <row r="435" spans="1:4">
      <c r="A435" s="129" t="s">
        <v>1003</v>
      </c>
      <c r="B435" s="129"/>
      <c r="C435" s="129" t="s">
        <v>41</v>
      </c>
      <c r="D435" s="129" t="s">
        <v>42</v>
      </c>
    </row>
    <row r="436" spans="1:4">
      <c r="A436" s="129" t="s">
        <v>1004</v>
      </c>
      <c r="B436" s="129"/>
      <c r="C436" s="129" t="s">
        <v>41</v>
      </c>
      <c r="D436" s="129" t="s">
        <v>42</v>
      </c>
    </row>
    <row r="437" spans="1:4">
      <c r="A437" s="129" t="s">
        <v>1005</v>
      </c>
      <c r="B437" s="129"/>
      <c r="C437" s="129" t="s">
        <v>41</v>
      </c>
      <c r="D437" s="129" t="s">
        <v>42</v>
      </c>
    </row>
    <row r="438" spans="1:4">
      <c r="A438" s="129" t="s">
        <v>1006</v>
      </c>
      <c r="B438" s="129"/>
      <c r="C438" s="129" t="s">
        <v>41</v>
      </c>
      <c r="D438" s="129" t="s">
        <v>42</v>
      </c>
    </row>
    <row r="439" spans="1:4">
      <c r="A439" s="129" t="s">
        <v>1007</v>
      </c>
      <c r="B439" s="129"/>
      <c r="C439" s="129" t="s">
        <v>41</v>
      </c>
      <c r="D439" s="129" t="s">
        <v>42</v>
      </c>
    </row>
    <row r="440" spans="1:4">
      <c r="A440" s="129" t="s">
        <v>1008</v>
      </c>
      <c r="B440" s="129"/>
      <c r="C440" s="129" t="s">
        <v>41</v>
      </c>
      <c r="D440" s="129" t="s">
        <v>42</v>
      </c>
    </row>
    <row r="441" spans="1:4">
      <c r="A441" s="129" t="s">
        <v>1009</v>
      </c>
      <c r="B441" s="129"/>
      <c r="C441" s="129" t="s">
        <v>41</v>
      </c>
      <c r="D441" s="129" t="s">
        <v>42</v>
      </c>
    </row>
    <row r="442" spans="1:4">
      <c r="A442" s="129" t="s">
        <v>1010</v>
      </c>
      <c r="B442" s="129"/>
      <c r="C442" s="129" t="s">
        <v>41</v>
      </c>
      <c r="D442" s="129" t="s">
        <v>42</v>
      </c>
    </row>
    <row r="443" spans="1:4">
      <c r="A443" s="129" t="s">
        <v>1011</v>
      </c>
      <c r="B443" s="129"/>
      <c r="C443" s="129" t="s">
        <v>41</v>
      </c>
      <c r="D443" s="129" t="s">
        <v>42</v>
      </c>
    </row>
    <row r="444" spans="1:4">
      <c r="A444" s="129" t="s">
        <v>1012</v>
      </c>
      <c r="B444" s="129"/>
      <c r="C444" s="129" t="s">
        <v>41</v>
      </c>
      <c r="D444" s="129" t="s">
        <v>42</v>
      </c>
    </row>
    <row r="445" spans="1:4">
      <c r="A445" s="129" t="s">
        <v>1013</v>
      </c>
      <c r="B445" s="129"/>
      <c r="C445" s="129" t="s">
        <v>41</v>
      </c>
      <c r="D445" s="129" t="s">
        <v>42</v>
      </c>
    </row>
    <row r="446" spans="1:4">
      <c r="A446" s="129" t="s">
        <v>1014</v>
      </c>
      <c r="B446" s="129"/>
      <c r="C446" s="129" t="s">
        <v>41</v>
      </c>
      <c r="D446" s="129" t="s">
        <v>42</v>
      </c>
    </row>
    <row r="447" spans="1:4">
      <c r="A447" s="129" t="s">
        <v>1015</v>
      </c>
      <c r="B447" s="129"/>
      <c r="C447" s="129" t="s">
        <v>41</v>
      </c>
      <c r="D447" s="129" t="s">
        <v>42</v>
      </c>
    </row>
    <row r="448" spans="1:4">
      <c r="A448" s="129" t="s">
        <v>1016</v>
      </c>
      <c r="B448" s="129"/>
      <c r="C448" s="129" t="s">
        <v>41</v>
      </c>
      <c r="D448" s="129" t="s">
        <v>42</v>
      </c>
    </row>
    <row r="449" spans="1:4">
      <c r="A449" s="129" t="s">
        <v>1017</v>
      </c>
      <c r="B449" s="129"/>
      <c r="C449" s="129" t="s">
        <v>41</v>
      </c>
      <c r="D449" s="129" t="s">
        <v>42</v>
      </c>
    </row>
    <row r="450" spans="1:4">
      <c r="A450" s="129" t="s">
        <v>1018</v>
      </c>
      <c r="B450" s="129"/>
      <c r="C450" s="129" t="s">
        <v>41</v>
      </c>
      <c r="D450" s="129" t="s">
        <v>42</v>
      </c>
    </row>
    <row r="451" spans="1:4">
      <c r="A451" s="129" t="s">
        <v>1019</v>
      </c>
      <c r="B451" s="129"/>
      <c r="C451" s="129" t="s">
        <v>41</v>
      </c>
      <c r="D451" s="129" t="s">
        <v>42</v>
      </c>
    </row>
    <row r="452" spans="1:4">
      <c r="A452" s="129" t="s">
        <v>1020</v>
      </c>
      <c r="B452" s="129"/>
      <c r="C452" s="129" t="s">
        <v>41</v>
      </c>
      <c r="D452" s="129" t="s">
        <v>42</v>
      </c>
    </row>
    <row r="453" spans="1:4">
      <c r="A453" s="129" t="s">
        <v>1021</v>
      </c>
      <c r="B453" s="129"/>
      <c r="C453" s="129" t="s">
        <v>41</v>
      </c>
      <c r="D453" s="129" t="s">
        <v>42</v>
      </c>
    </row>
    <row r="454" spans="1:4">
      <c r="A454" s="129" t="s">
        <v>1022</v>
      </c>
      <c r="B454" s="129"/>
      <c r="C454" s="129" t="s">
        <v>41</v>
      </c>
      <c r="D454" s="129" t="s">
        <v>42</v>
      </c>
    </row>
    <row r="455" spans="1:4">
      <c r="A455" s="129" t="s">
        <v>1023</v>
      </c>
      <c r="B455" s="129"/>
      <c r="C455" s="129" t="s">
        <v>41</v>
      </c>
      <c r="D455" s="129" t="s">
        <v>42</v>
      </c>
    </row>
    <row r="456" spans="1:4">
      <c r="A456" s="129" t="s">
        <v>1024</v>
      </c>
      <c r="B456" s="129"/>
      <c r="C456" s="129" t="s">
        <v>41</v>
      </c>
      <c r="D456" s="129" t="s">
        <v>42</v>
      </c>
    </row>
    <row r="457" spans="1:4">
      <c r="A457" s="129" t="s">
        <v>1025</v>
      </c>
      <c r="B457" s="129"/>
      <c r="C457" s="129" t="s">
        <v>41</v>
      </c>
      <c r="D457" s="129" t="s">
        <v>42</v>
      </c>
    </row>
    <row r="458" spans="1:4">
      <c r="A458" s="129" t="s">
        <v>1026</v>
      </c>
      <c r="B458" s="129"/>
      <c r="C458" s="129" t="s">
        <v>41</v>
      </c>
      <c r="D458" s="129" t="s">
        <v>42</v>
      </c>
    </row>
    <row r="459" spans="1:4">
      <c r="A459" s="129" t="s">
        <v>1027</v>
      </c>
      <c r="B459" s="129"/>
      <c r="C459" s="129" t="s">
        <v>41</v>
      </c>
      <c r="D459" s="129" t="s">
        <v>42</v>
      </c>
    </row>
    <row r="460" spans="1:4">
      <c r="A460" s="129" t="s">
        <v>1028</v>
      </c>
      <c r="B460" s="129"/>
      <c r="C460" s="129" t="s">
        <v>41</v>
      </c>
      <c r="D460" s="129" t="s">
        <v>42</v>
      </c>
    </row>
    <row r="461" spans="1:4">
      <c r="A461" s="129" t="s">
        <v>1029</v>
      </c>
      <c r="B461" s="129"/>
      <c r="C461" s="129" t="s">
        <v>41</v>
      </c>
      <c r="D461" s="129" t="s">
        <v>42</v>
      </c>
    </row>
    <row r="462" spans="1:4">
      <c r="A462" s="129" t="s">
        <v>1030</v>
      </c>
      <c r="B462" s="129"/>
      <c r="C462" s="129" t="s">
        <v>41</v>
      </c>
      <c r="D462" s="129" t="s">
        <v>42</v>
      </c>
    </row>
    <row r="463" spans="1:4">
      <c r="A463" s="129" t="s">
        <v>1031</v>
      </c>
      <c r="B463" s="129"/>
      <c r="C463" s="129" t="s">
        <v>41</v>
      </c>
      <c r="D463" s="129" t="s">
        <v>42</v>
      </c>
    </row>
    <row r="464" spans="1:4">
      <c r="A464" s="129" t="s">
        <v>1032</v>
      </c>
      <c r="B464" s="129"/>
      <c r="C464" s="129" t="s">
        <v>41</v>
      </c>
      <c r="D464" s="129" t="s">
        <v>42</v>
      </c>
    </row>
    <row r="465" spans="1:4">
      <c r="A465" s="129" t="s">
        <v>1033</v>
      </c>
      <c r="B465" s="129"/>
      <c r="C465" s="129" t="s">
        <v>41</v>
      </c>
      <c r="D465" s="129" t="s">
        <v>42</v>
      </c>
    </row>
    <row r="466" spans="1:4">
      <c r="A466" s="129" t="s">
        <v>1034</v>
      </c>
      <c r="B466" s="129"/>
      <c r="C466" s="129" t="s">
        <v>41</v>
      </c>
      <c r="D466" s="129" t="s">
        <v>42</v>
      </c>
    </row>
    <row r="467" spans="1:4">
      <c r="A467" s="129" t="s">
        <v>1035</v>
      </c>
      <c r="B467" s="129"/>
      <c r="C467" s="129" t="s">
        <v>41</v>
      </c>
      <c r="D467" s="129" t="s">
        <v>42</v>
      </c>
    </row>
    <row r="468" spans="1:4">
      <c r="A468" s="129" t="s">
        <v>1036</v>
      </c>
      <c r="B468" s="129"/>
      <c r="C468" s="129" t="s">
        <v>41</v>
      </c>
      <c r="D468" s="129" t="s">
        <v>42</v>
      </c>
    </row>
    <row r="469" spans="1:4">
      <c r="A469" s="129" t="s">
        <v>1037</v>
      </c>
      <c r="B469" s="129"/>
      <c r="C469" s="129" t="s">
        <v>41</v>
      </c>
      <c r="D469" s="129" t="s">
        <v>42</v>
      </c>
    </row>
    <row r="470" spans="1:4">
      <c r="A470" s="129" t="s">
        <v>1038</v>
      </c>
      <c r="B470" s="129"/>
      <c r="C470" s="129" t="s">
        <v>41</v>
      </c>
      <c r="D470" s="129" t="s">
        <v>42</v>
      </c>
    </row>
    <row r="471" spans="1:4">
      <c r="A471" s="129" t="s">
        <v>1039</v>
      </c>
      <c r="B471" s="129"/>
      <c r="C471" s="129" t="s">
        <v>41</v>
      </c>
      <c r="D471" s="129" t="s">
        <v>42</v>
      </c>
    </row>
    <row r="472" spans="1:4">
      <c r="A472" s="129" t="s">
        <v>1040</v>
      </c>
      <c r="B472" s="129"/>
      <c r="C472" s="129" t="s">
        <v>41</v>
      </c>
      <c r="D472" s="129" t="s">
        <v>42</v>
      </c>
    </row>
    <row r="473" spans="1:4">
      <c r="A473" s="129" t="s">
        <v>1041</v>
      </c>
      <c r="B473" s="129"/>
      <c r="C473" s="129" t="s">
        <v>41</v>
      </c>
      <c r="D473" s="129" t="s">
        <v>42</v>
      </c>
    </row>
    <row r="474" spans="1:4">
      <c r="A474" s="129" t="s">
        <v>1042</v>
      </c>
      <c r="B474" s="129"/>
      <c r="C474" s="129" t="s">
        <v>41</v>
      </c>
      <c r="D474" s="129" t="s">
        <v>42</v>
      </c>
    </row>
    <row r="475" spans="1:4">
      <c r="A475" s="129" t="s">
        <v>1043</v>
      </c>
      <c r="B475" s="129"/>
      <c r="C475" s="129" t="s">
        <v>41</v>
      </c>
      <c r="D475" s="129" t="s">
        <v>42</v>
      </c>
    </row>
    <row r="476" spans="1:4">
      <c r="A476" s="129" t="s">
        <v>1044</v>
      </c>
      <c r="B476" s="129"/>
      <c r="C476" s="129" t="s">
        <v>41</v>
      </c>
      <c r="D476" s="129" t="s">
        <v>42</v>
      </c>
    </row>
    <row r="477" spans="1:4">
      <c r="A477" s="129" t="s">
        <v>1045</v>
      </c>
      <c r="B477" s="129"/>
      <c r="C477" s="129" t="s">
        <v>41</v>
      </c>
      <c r="D477" s="129" t="s">
        <v>42</v>
      </c>
    </row>
    <row r="478" spans="1:4">
      <c r="A478" s="129" t="s">
        <v>1046</v>
      </c>
      <c r="B478" s="129"/>
      <c r="C478" s="129" t="s">
        <v>41</v>
      </c>
      <c r="D478" s="129" t="s">
        <v>42</v>
      </c>
    </row>
    <row r="479" spans="1:4">
      <c r="A479" s="129" t="s">
        <v>1047</v>
      </c>
      <c r="B479" s="129"/>
      <c r="C479" s="129" t="s">
        <v>41</v>
      </c>
      <c r="D479" s="129" t="s">
        <v>42</v>
      </c>
    </row>
    <row r="480" spans="1:4">
      <c r="A480" s="129" t="s">
        <v>1048</v>
      </c>
      <c r="B480" s="129"/>
      <c r="C480" s="129" t="s">
        <v>41</v>
      </c>
      <c r="D480" s="129" t="s">
        <v>42</v>
      </c>
    </row>
    <row r="481" spans="1:4">
      <c r="A481" s="129" t="s">
        <v>1049</v>
      </c>
      <c r="B481" s="129"/>
      <c r="C481" s="129" t="s">
        <v>41</v>
      </c>
      <c r="D481" s="129" t="s">
        <v>42</v>
      </c>
    </row>
    <row r="482" spans="1:4">
      <c r="A482" s="129" t="s">
        <v>1050</v>
      </c>
      <c r="B482" s="129"/>
      <c r="C482" s="129" t="s">
        <v>41</v>
      </c>
      <c r="D482" s="129" t="s">
        <v>42</v>
      </c>
    </row>
    <row r="483" spans="1:4">
      <c r="A483" s="129" t="s">
        <v>1051</v>
      </c>
      <c r="B483" s="129"/>
      <c r="C483" s="129" t="s">
        <v>41</v>
      </c>
      <c r="D483" s="129" t="s">
        <v>42</v>
      </c>
    </row>
    <row r="484" spans="1:4">
      <c r="A484" s="129" t="s">
        <v>1052</v>
      </c>
      <c r="B484" s="129"/>
      <c r="C484" s="129" t="s">
        <v>41</v>
      </c>
      <c r="D484" s="129" t="s">
        <v>42</v>
      </c>
    </row>
    <row r="485" spans="1:4">
      <c r="A485" s="129" t="s">
        <v>1053</v>
      </c>
      <c r="B485" s="129"/>
      <c r="C485" s="129" t="s">
        <v>41</v>
      </c>
      <c r="D485" s="129" t="s">
        <v>42</v>
      </c>
    </row>
    <row r="486" spans="1:4">
      <c r="A486" s="129" t="s">
        <v>1054</v>
      </c>
      <c r="B486" s="129"/>
      <c r="C486" s="129" t="s">
        <v>41</v>
      </c>
      <c r="D486" s="129" t="s">
        <v>42</v>
      </c>
    </row>
    <row r="487" spans="1:4">
      <c r="A487" s="129" t="s">
        <v>1055</v>
      </c>
      <c r="B487" s="129"/>
      <c r="C487" s="129" t="s">
        <v>41</v>
      </c>
      <c r="D487" s="129" t="s">
        <v>42</v>
      </c>
    </row>
    <row r="488" spans="1:4">
      <c r="A488" s="129" t="s">
        <v>1056</v>
      </c>
      <c r="B488" s="129"/>
      <c r="C488" s="129" t="s">
        <v>41</v>
      </c>
      <c r="D488" s="129" t="s">
        <v>42</v>
      </c>
    </row>
    <row r="489" spans="1:4">
      <c r="A489" s="129" t="s">
        <v>1057</v>
      </c>
      <c r="B489" s="129"/>
      <c r="C489" s="129" t="s">
        <v>41</v>
      </c>
      <c r="D489" s="129" t="s">
        <v>42</v>
      </c>
    </row>
    <row r="490" spans="1:4">
      <c r="A490" s="129" t="s">
        <v>1058</v>
      </c>
      <c r="B490" s="129"/>
      <c r="C490" s="129" t="s">
        <v>41</v>
      </c>
      <c r="D490" s="129" t="s">
        <v>42</v>
      </c>
    </row>
    <row r="491" spans="1:4">
      <c r="A491" s="129" t="s">
        <v>1059</v>
      </c>
      <c r="B491" s="129"/>
      <c r="C491" s="129" t="s">
        <v>41</v>
      </c>
      <c r="D491" s="129" t="s">
        <v>42</v>
      </c>
    </row>
    <row r="492" spans="1:4">
      <c r="A492" s="129" t="s">
        <v>1060</v>
      </c>
      <c r="B492" s="129"/>
      <c r="C492" s="129" t="s">
        <v>41</v>
      </c>
      <c r="D492" s="129" t="s">
        <v>42</v>
      </c>
    </row>
    <row r="493" spans="1:4">
      <c r="A493" s="129" t="s">
        <v>1061</v>
      </c>
      <c r="B493" s="129"/>
      <c r="C493" s="129" t="s">
        <v>41</v>
      </c>
      <c r="D493" s="129" t="s">
        <v>42</v>
      </c>
    </row>
    <row r="494" spans="1:4">
      <c r="A494" s="129" t="s">
        <v>1062</v>
      </c>
      <c r="B494" s="129"/>
      <c r="C494" s="129" t="s">
        <v>41</v>
      </c>
      <c r="D494" s="129" t="s">
        <v>42</v>
      </c>
    </row>
    <row r="495" spans="1:4">
      <c r="A495" s="129" t="s">
        <v>1063</v>
      </c>
      <c r="B495" s="129"/>
      <c r="C495" s="129" t="s">
        <v>41</v>
      </c>
      <c r="D495" s="129" t="s">
        <v>42</v>
      </c>
    </row>
    <row r="496" spans="1:4">
      <c r="A496" s="129" t="s">
        <v>1064</v>
      </c>
      <c r="B496" s="129"/>
      <c r="C496" s="129" t="s">
        <v>41</v>
      </c>
      <c r="D496" s="129" t="s">
        <v>42</v>
      </c>
    </row>
    <row r="497" spans="1:4">
      <c r="A497" s="129" t="s">
        <v>1065</v>
      </c>
      <c r="B497" s="129"/>
      <c r="C497" s="129" t="s">
        <v>41</v>
      </c>
      <c r="D497" s="129" t="s">
        <v>42</v>
      </c>
    </row>
    <row r="498" spans="1:4">
      <c r="A498" s="129" t="s">
        <v>1066</v>
      </c>
      <c r="B498" s="129"/>
      <c r="C498" s="129" t="s">
        <v>41</v>
      </c>
      <c r="D498" s="129" t="s">
        <v>42</v>
      </c>
    </row>
    <row r="499" spans="1:4">
      <c r="A499" s="129" t="s">
        <v>1067</v>
      </c>
      <c r="B499" s="129"/>
      <c r="C499" s="129" t="s">
        <v>41</v>
      </c>
      <c r="D499" s="129" t="s">
        <v>42</v>
      </c>
    </row>
    <row r="500" spans="1:4">
      <c r="A500" s="129" t="s">
        <v>1068</v>
      </c>
      <c r="B500" s="129"/>
      <c r="C500" s="129" t="s">
        <v>41</v>
      </c>
      <c r="D500" s="129" t="s">
        <v>42</v>
      </c>
    </row>
    <row r="501" spans="1:4">
      <c r="A501" s="129" t="s">
        <v>1069</v>
      </c>
      <c r="B501" s="129"/>
      <c r="C501" s="129" t="s">
        <v>41</v>
      </c>
      <c r="D501" s="129" t="s">
        <v>42</v>
      </c>
    </row>
    <row r="502" spans="1:4">
      <c r="A502" s="129" t="s">
        <v>1070</v>
      </c>
      <c r="B502" s="129"/>
      <c r="C502" s="129" t="s">
        <v>41</v>
      </c>
      <c r="D502" s="129" t="s">
        <v>42</v>
      </c>
    </row>
    <row r="503" spans="1:4">
      <c r="A503" s="129" t="s">
        <v>1071</v>
      </c>
      <c r="B503" s="129"/>
      <c r="C503" s="129" t="s">
        <v>41</v>
      </c>
      <c r="D503" s="129" t="s">
        <v>42</v>
      </c>
    </row>
    <row r="504" spans="1:4">
      <c r="A504" s="129" t="s">
        <v>1072</v>
      </c>
      <c r="B504" s="129"/>
      <c r="C504" s="129" t="s">
        <v>41</v>
      </c>
      <c r="D504" s="129" t="s">
        <v>42</v>
      </c>
    </row>
    <row r="505" spans="1:4">
      <c r="A505" s="129" t="s">
        <v>1073</v>
      </c>
      <c r="B505" s="129"/>
      <c r="C505" s="129" t="s">
        <v>41</v>
      </c>
      <c r="D505" s="129" t="s">
        <v>42</v>
      </c>
    </row>
    <row r="506" spans="1:4">
      <c r="A506" s="129" t="s">
        <v>1074</v>
      </c>
      <c r="B506" s="129"/>
      <c r="C506" s="129" t="s">
        <v>41</v>
      </c>
      <c r="D506" s="129" t="s">
        <v>42</v>
      </c>
    </row>
    <row r="507" spans="1:4">
      <c r="A507" s="129" t="s">
        <v>1075</v>
      </c>
      <c r="B507" s="129"/>
      <c r="C507" s="129" t="s">
        <v>41</v>
      </c>
      <c r="D507" s="129" t="s">
        <v>42</v>
      </c>
    </row>
    <row r="508" spans="1:4">
      <c r="A508" s="129" t="s">
        <v>1076</v>
      </c>
      <c r="B508" s="129"/>
      <c r="C508" s="129" t="s">
        <v>41</v>
      </c>
      <c r="D508" s="129" t="s">
        <v>42</v>
      </c>
    </row>
    <row r="509" spans="1:4">
      <c r="A509" s="129" t="s">
        <v>1077</v>
      </c>
      <c r="B509" s="129"/>
      <c r="C509" s="129" t="s">
        <v>41</v>
      </c>
      <c r="D509" s="129" t="s">
        <v>42</v>
      </c>
    </row>
    <row r="510" spans="1:4">
      <c r="A510" s="129" t="s">
        <v>1078</v>
      </c>
      <c r="B510" s="129"/>
      <c r="C510" s="129" t="s">
        <v>41</v>
      </c>
      <c r="D510" s="129" t="s">
        <v>42</v>
      </c>
    </row>
    <row r="511" spans="1:4">
      <c r="A511" s="129" t="s">
        <v>1079</v>
      </c>
      <c r="B511" s="129"/>
      <c r="C511" s="129" t="s">
        <v>41</v>
      </c>
      <c r="D511" s="129" t="s">
        <v>42</v>
      </c>
    </row>
    <row r="512" spans="1:4">
      <c r="A512" s="129" t="s">
        <v>1080</v>
      </c>
      <c r="B512" s="129"/>
      <c r="C512" s="129" t="s">
        <v>41</v>
      </c>
      <c r="D512" s="129" t="s">
        <v>42</v>
      </c>
    </row>
    <row r="513" spans="1:4">
      <c r="A513" s="129" t="s">
        <v>1081</v>
      </c>
      <c r="B513" s="129"/>
      <c r="C513" s="129" t="s">
        <v>41</v>
      </c>
      <c r="D513" s="129" t="s">
        <v>42</v>
      </c>
    </row>
    <row r="514" spans="1:4">
      <c r="A514" s="129" t="s">
        <v>1082</v>
      </c>
      <c r="B514" s="129"/>
      <c r="C514" s="129" t="s">
        <v>41</v>
      </c>
      <c r="D514" s="129" t="s">
        <v>42</v>
      </c>
    </row>
    <row r="515" spans="1:4">
      <c r="A515" s="129" t="s">
        <v>1083</v>
      </c>
      <c r="B515" s="129"/>
      <c r="C515" s="129" t="s">
        <v>41</v>
      </c>
      <c r="D515" s="129" t="s">
        <v>42</v>
      </c>
    </row>
    <row r="516" spans="1:4">
      <c r="A516" s="129" t="s">
        <v>1084</v>
      </c>
      <c r="B516" s="129"/>
      <c r="C516" s="129" t="s">
        <v>41</v>
      </c>
      <c r="D516" s="129" t="s">
        <v>42</v>
      </c>
    </row>
    <row r="517" spans="1:4">
      <c r="A517" s="129" t="s">
        <v>1085</v>
      </c>
      <c r="B517" s="129"/>
      <c r="C517" s="129" t="s">
        <v>41</v>
      </c>
      <c r="D517" s="129" t="s">
        <v>42</v>
      </c>
    </row>
    <row r="518" spans="1:4">
      <c r="A518" s="129" t="s">
        <v>1086</v>
      </c>
      <c r="B518" s="129"/>
      <c r="C518" s="129" t="s">
        <v>41</v>
      </c>
      <c r="D518" s="129" t="s">
        <v>42</v>
      </c>
    </row>
    <row r="519" spans="1:4">
      <c r="A519" s="129" t="s">
        <v>1087</v>
      </c>
      <c r="B519" s="129"/>
      <c r="C519" s="129" t="s">
        <v>41</v>
      </c>
      <c r="D519" s="129" t="s">
        <v>42</v>
      </c>
    </row>
    <row r="520" spans="1:4">
      <c r="A520" s="129" t="s">
        <v>1088</v>
      </c>
      <c r="B520" s="129"/>
      <c r="C520" s="129" t="s">
        <v>41</v>
      </c>
      <c r="D520" s="129" t="s">
        <v>42</v>
      </c>
    </row>
    <row r="521" spans="1:4">
      <c r="A521" s="129" t="s">
        <v>1089</v>
      </c>
      <c r="B521" s="129"/>
      <c r="C521" s="129" t="s">
        <v>41</v>
      </c>
      <c r="D521" s="129" t="s">
        <v>42</v>
      </c>
    </row>
    <row r="522" spans="1:4">
      <c r="A522" s="129" t="s">
        <v>1090</v>
      </c>
      <c r="B522" s="129"/>
      <c r="C522" s="129" t="s">
        <v>41</v>
      </c>
      <c r="D522" s="129" t="s">
        <v>42</v>
      </c>
    </row>
    <row r="523" spans="1:4">
      <c r="A523" s="129" t="s">
        <v>1091</v>
      </c>
      <c r="B523" s="129"/>
      <c r="C523" s="129" t="s">
        <v>41</v>
      </c>
      <c r="D523" s="129" t="s">
        <v>42</v>
      </c>
    </row>
    <row r="524" spans="1:4">
      <c r="A524" s="129" t="s">
        <v>1092</v>
      </c>
      <c r="B524" s="129"/>
      <c r="C524" s="129" t="s">
        <v>41</v>
      </c>
      <c r="D524" s="129" t="s">
        <v>42</v>
      </c>
    </row>
    <row r="525" spans="1:4">
      <c r="A525" s="129" t="s">
        <v>1093</v>
      </c>
      <c r="B525" s="129"/>
      <c r="C525" s="129" t="s">
        <v>41</v>
      </c>
      <c r="D525" s="129" t="s">
        <v>42</v>
      </c>
    </row>
    <row r="526" spans="1:4">
      <c r="A526" s="129" t="s">
        <v>1094</v>
      </c>
      <c r="B526" s="129"/>
      <c r="C526" s="129" t="s">
        <v>41</v>
      </c>
      <c r="D526" s="129" t="s">
        <v>42</v>
      </c>
    </row>
    <row r="527" spans="1:4">
      <c r="A527" s="129" t="s">
        <v>1095</v>
      </c>
      <c r="B527" s="129"/>
      <c r="C527" s="129" t="s">
        <v>41</v>
      </c>
      <c r="D527" s="129" t="s">
        <v>42</v>
      </c>
    </row>
    <row r="528" spans="1:4">
      <c r="A528" s="129" t="s">
        <v>1096</v>
      </c>
      <c r="B528" s="129"/>
      <c r="C528" s="129" t="s">
        <v>41</v>
      </c>
      <c r="D528" s="129" t="s">
        <v>42</v>
      </c>
    </row>
    <row r="529" spans="1:4">
      <c r="A529" s="129" t="s">
        <v>1097</v>
      </c>
      <c r="B529" s="129"/>
      <c r="C529" s="129" t="s">
        <v>41</v>
      </c>
      <c r="D529" s="129" t="s">
        <v>42</v>
      </c>
    </row>
    <row r="530" spans="1:4">
      <c r="A530" s="129" t="s">
        <v>1098</v>
      </c>
      <c r="B530" s="129"/>
      <c r="C530" s="129" t="s">
        <v>41</v>
      </c>
      <c r="D530" s="129" t="s">
        <v>42</v>
      </c>
    </row>
    <row r="531" spans="1:4">
      <c r="A531" s="129" t="s">
        <v>1099</v>
      </c>
      <c r="B531" s="129"/>
      <c r="C531" s="129" t="s">
        <v>41</v>
      </c>
      <c r="D531" s="129" t="s">
        <v>42</v>
      </c>
    </row>
    <row r="532" spans="1:4">
      <c r="A532" s="129" t="s">
        <v>1100</v>
      </c>
      <c r="B532" s="129"/>
      <c r="C532" s="129" t="s">
        <v>41</v>
      </c>
      <c r="D532" s="129" t="s">
        <v>42</v>
      </c>
    </row>
    <row r="533" spans="1:4">
      <c r="A533" s="129" t="s">
        <v>1101</v>
      </c>
      <c r="B533" s="129"/>
      <c r="C533" s="129" t="s">
        <v>41</v>
      </c>
      <c r="D533" s="129" t="s">
        <v>42</v>
      </c>
    </row>
    <row r="534" spans="1:4">
      <c r="A534" s="129" t="s">
        <v>1102</v>
      </c>
      <c r="B534" s="129"/>
      <c r="C534" s="129" t="s">
        <v>41</v>
      </c>
      <c r="D534" s="129" t="s">
        <v>42</v>
      </c>
    </row>
    <row r="535" spans="1:4">
      <c r="A535" s="129" t="s">
        <v>1103</v>
      </c>
      <c r="B535" s="129"/>
      <c r="C535" s="129" t="s">
        <v>41</v>
      </c>
      <c r="D535" s="129" t="s">
        <v>42</v>
      </c>
    </row>
    <row r="536" spans="1:4">
      <c r="A536" s="129" t="s">
        <v>1104</v>
      </c>
      <c r="B536" s="129"/>
      <c r="C536" s="129" t="s">
        <v>41</v>
      </c>
      <c r="D536" s="129" t="s">
        <v>42</v>
      </c>
    </row>
    <row r="537" spans="1:4">
      <c r="A537" s="129" t="s">
        <v>1105</v>
      </c>
      <c r="B537" s="129"/>
      <c r="C537" s="129" t="s">
        <v>41</v>
      </c>
      <c r="D537" s="129" t="s">
        <v>42</v>
      </c>
    </row>
    <row r="538" spans="1:4">
      <c r="A538" s="129" t="s">
        <v>1106</v>
      </c>
      <c r="B538" s="129"/>
      <c r="C538" s="129" t="s">
        <v>41</v>
      </c>
      <c r="D538" s="129" t="s">
        <v>42</v>
      </c>
    </row>
    <row r="539" spans="1:4">
      <c r="A539" s="129" t="s">
        <v>1107</v>
      </c>
      <c r="B539" s="129"/>
      <c r="C539" s="129" t="s">
        <v>41</v>
      </c>
      <c r="D539" s="129" t="s">
        <v>42</v>
      </c>
    </row>
    <row r="540" spans="1:4">
      <c r="A540" s="129" t="s">
        <v>1108</v>
      </c>
      <c r="B540" s="129"/>
      <c r="C540" s="129" t="s">
        <v>41</v>
      </c>
      <c r="D540" s="129" t="s">
        <v>42</v>
      </c>
    </row>
    <row r="541" spans="1:4">
      <c r="A541" s="129" t="s">
        <v>1109</v>
      </c>
      <c r="B541" s="129"/>
      <c r="C541" s="129" t="s">
        <v>41</v>
      </c>
      <c r="D541" s="129" t="s">
        <v>42</v>
      </c>
    </row>
    <row r="542" spans="1:4">
      <c r="A542" s="129" t="s">
        <v>1110</v>
      </c>
      <c r="B542" s="129"/>
      <c r="C542" s="129" t="s">
        <v>41</v>
      </c>
      <c r="D542" s="129" t="s">
        <v>42</v>
      </c>
    </row>
    <row r="543" spans="1:4">
      <c r="A543" s="129" t="s">
        <v>1111</v>
      </c>
      <c r="B543" s="129"/>
      <c r="C543" s="129" t="s">
        <v>41</v>
      </c>
      <c r="D543" s="129" t="s">
        <v>42</v>
      </c>
    </row>
    <row r="544" spans="1:4">
      <c r="A544" s="129" t="s">
        <v>1112</v>
      </c>
      <c r="B544" s="129"/>
      <c r="C544" s="129" t="s">
        <v>41</v>
      </c>
      <c r="D544" s="129" t="s">
        <v>42</v>
      </c>
    </row>
    <row r="545" spans="1:4">
      <c r="A545" s="129" t="s">
        <v>1113</v>
      </c>
      <c r="B545" s="129"/>
      <c r="C545" s="129" t="s">
        <v>41</v>
      </c>
      <c r="D545" s="129" t="s">
        <v>42</v>
      </c>
    </row>
    <row r="546" spans="1:4">
      <c r="A546" s="129" t="s">
        <v>1114</v>
      </c>
      <c r="B546" s="129"/>
      <c r="C546" s="129" t="s">
        <v>41</v>
      </c>
      <c r="D546" s="129" t="s">
        <v>42</v>
      </c>
    </row>
    <row r="547" spans="1:4">
      <c r="A547" s="129" t="s">
        <v>1115</v>
      </c>
      <c r="B547" s="129"/>
      <c r="C547" s="129" t="s">
        <v>41</v>
      </c>
      <c r="D547" s="129" t="s">
        <v>42</v>
      </c>
    </row>
    <row r="548" spans="1:4">
      <c r="A548" s="129" t="s">
        <v>1116</v>
      </c>
      <c r="B548" s="129"/>
      <c r="C548" s="129" t="s">
        <v>41</v>
      </c>
      <c r="D548" s="129" t="s">
        <v>42</v>
      </c>
    </row>
    <row r="549" spans="1:4">
      <c r="A549" s="129" t="s">
        <v>1117</v>
      </c>
      <c r="B549" s="129"/>
      <c r="C549" s="129" t="s">
        <v>41</v>
      </c>
      <c r="D549" s="129" t="s">
        <v>42</v>
      </c>
    </row>
    <row r="550" spans="1:4">
      <c r="A550" s="129" t="s">
        <v>1118</v>
      </c>
      <c r="B550" s="129"/>
      <c r="C550" s="129" t="s">
        <v>41</v>
      </c>
      <c r="D550" s="129" t="s">
        <v>42</v>
      </c>
    </row>
    <row r="551" spans="1:4">
      <c r="A551" s="129" t="s">
        <v>1119</v>
      </c>
      <c r="B551" s="129"/>
      <c r="C551" s="129" t="s">
        <v>41</v>
      </c>
      <c r="D551" s="129" t="s">
        <v>42</v>
      </c>
    </row>
    <row r="552" spans="1:4">
      <c r="A552" s="129" t="s">
        <v>1120</v>
      </c>
      <c r="B552" s="129"/>
      <c r="C552" s="129" t="s">
        <v>41</v>
      </c>
      <c r="D552" s="129" t="s">
        <v>42</v>
      </c>
    </row>
    <row r="553" spans="1:4">
      <c r="A553" s="129" t="s">
        <v>1121</v>
      </c>
      <c r="B553" s="129"/>
      <c r="C553" s="129" t="s">
        <v>41</v>
      </c>
      <c r="D553" s="129" t="s">
        <v>42</v>
      </c>
    </row>
    <row r="554" spans="1:4">
      <c r="A554" s="129" t="s">
        <v>1122</v>
      </c>
      <c r="B554" s="129"/>
      <c r="C554" s="129" t="s">
        <v>41</v>
      </c>
      <c r="D554" s="129" t="s">
        <v>42</v>
      </c>
    </row>
    <row r="555" spans="1:4">
      <c r="A555" s="129" t="s">
        <v>1123</v>
      </c>
      <c r="B555" s="129"/>
      <c r="C555" s="129" t="s">
        <v>41</v>
      </c>
      <c r="D555" s="129" t="s">
        <v>42</v>
      </c>
    </row>
    <row r="556" spans="1:4">
      <c r="A556" s="129" t="s">
        <v>1124</v>
      </c>
      <c r="B556" s="129"/>
      <c r="C556" s="129" t="s">
        <v>41</v>
      </c>
      <c r="D556" s="129" t="s">
        <v>42</v>
      </c>
    </row>
    <row r="557" spans="1:4">
      <c r="A557" s="129" t="s">
        <v>1125</v>
      </c>
      <c r="B557" s="129"/>
      <c r="C557" s="129" t="s">
        <v>41</v>
      </c>
      <c r="D557" s="129" t="s">
        <v>42</v>
      </c>
    </row>
    <row r="558" spans="1:4">
      <c r="A558" s="129" t="s">
        <v>1126</v>
      </c>
      <c r="B558" s="129"/>
      <c r="C558" s="129" t="s">
        <v>41</v>
      </c>
      <c r="D558" s="129" t="s">
        <v>42</v>
      </c>
    </row>
    <row r="559" spans="1:4">
      <c r="A559" s="129" t="s">
        <v>1127</v>
      </c>
      <c r="B559" s="129"/>
      <c r="C559" s="129" t="s">
        <v>41</v>
      </c>
      <c r="D559" s="129" t="s">
        <v>42</v>
      </c>
    </row>
    <row r="560" spans="1:4">
      <c r="A560" s="129" t="s">
        <v>1128</v>
      </c>
      <c r="B560" s="129"/>
      <c r="C560" s="129" t="s">
        <v>41</v>
      </c>
      <c r="D560" s="129" t="s">
        <v>42</v>
      </c>
    </row>
    <row r="561" spans="1:4">
      <c r="A561" s="129" t="s">
        <v>1129</v>
      </c>
      <c r="B561" s="129"/>
      <c r="C561" s="129" t="s">
        <v>41</v>
      </c>
      <c r="D561" s="129" t="s">
        <v>42</v>
      </c>
    </row>
    <row r="562" spans="1:4">
      <c r="A562" s="129" t="s">
        <v>1130</v>
      </c>
      <c r="B562" s="129"/>
      <c r="C562" s="129" t="s">
        <v>41</v>
      </c>
      <c r="D562" s="129" t="s">
        <v>42</v>
      </c>
    </row>
    <row r="563" spans="1:4">
      <c r="A563" s="129" t="s">
        <v>1131</v>
      </c>
      <c r="B563" s="129"/>
      <c r="C563" s="129" t="s">
        <v>41</v>
      </c>
      <c r="D563" s="129" t="s">
        <v>42</v>
      </c>
    </row>
    <row r="564" spans="1:4">
      <c r="A564" s="129" t="s">
        <v>1132</v>
      </c>
      <c r="B564" s="129"/>
      <c r="C564" s="129" t="s">
        <v>41</v>
      </c>
      <c r="D564" s="129" t="s">
        <v>42</v>
      </c>
    </row>
    <row r="565" spans="1:4">
      <c r="A565" s="129" t="s">
        <v>1133</v>
      </c>
      <c r="B565" s="129"/>
      <c r="C565" s="129" t="s">
        <v>41</v>
      </c>
      <c r="D565" s="129" t="s">
        <v>42</v>
      </c>
    </row>
    <row r="566" spans="1:4">
      <c r="A566" s="129" t="s">
        <v>1134</v>
      </c>
      <c r="B566" s="129"/>
      <c r="C566" s="129" t="s">
        <v>41</v>
      </c>
      <c r="D566" s="129" t="s">
        <v>42</v>
      </c>
    </row>
    <row r="567" spans="1:4">
      <c r="A567" s="129" t="s">
        <v>1631</v>
      </c>
      <c r="B567" s="129"/>
      <c r="C567" s="129" t="s">
        <v>121</v>
      </c>
      <c r="D567" s="129" t="s">
        <v>122</v>
      </c>
    </row>
    <row r="568" spans="1:4">
      <c r="A568" s="129" t="s">
        <v>1632</v>
      </c>
      <c r="B568" s="129"/>
      <c r="C568" s="129" t="s">
        <v>121</v>
      </c>
      <c r="D568" s="129" t="s">
        <v>122</v>
      </c>
    </row>
    <row r="569" spans="1:4">
      <c r="A569" s="129" t="s">
        <v>1633</v>
      </c>
      <c r="B569" s="129"/>
      <c r="C569" s="129" t="s">
        <v>121</v>
      </c>
      <c r="D569" s="129" t="s">
        <v>122</v>
      </c>
    </row>
    <row r="570" spans="1:4">
      <c r="A570" s="129" t="s">
        <v>599</v>
      </c>
      <c r="B570" s="129"/>
      <c r="C570" s="129" t="s">
        <v>121</v>
      </c>
      <c r="D570" s="129" t="s">
        <v>122</v>
      </c>
    </row>
    <row r="571" spans="1:4">
      <c r="A571" s="129" t="s">
        <v>785</v>
      </c>
      <c r="B571" s="129"/>
      <c r="C571" s="129" t="s">
        <v>121</v>
      </c>
      <c r="D571" s="129" t="s">
        <v>122</v>
      </c>
    </row>
    <row r="572" spans="1:4">
      <c r="A572" s="129" t="s">
        <v>1634</v>
      </c>
      <c r="B572" s="129"/>
      <c r="C572" s="129" t="s">
        <v>121</v>
      </c>
      <c r="D572" s="129" t="s">
        <v>122</v>
      </c>
    </row>
    <row r="573" spans="1:4">
      <c r="A573" s="129" t="s">
        <v>609</v>
      </c>
      <c r="B573" s="129"/>
      <c r="C573" s="129" t="s">
        <v>121</v>
      </c>
      <c r="D573" s="129" t="s">
        <v>122</v>
      </c>
    </row>
    <row r="574" spans="1:4">
      <c r="A574" s="129" t="s">
        <v>1635</v>
      </c>
      <c r="B574" s="129"/>
      <c r="C574" s="129" t="s">
        <v>121</v>
      </c>
      <c r="D574" s="129" t="s">
        <v>122</v>
      </c>
    </row>
    <row r="575" spans="1:4">
      <c r="A575" s="129" t="s">
        <v>1655</v>
      </c>
      <c r="B575" s="129"/>
      <c r="C575" s="129" t="s">
        <v>138</v>
      </c>
      <c r="D575" s="129" t="s">
        <v>139</v>
      </c>
    </row>
    <row r="576" spans="1:4">
      <c r="A576" s="129" t="s">
        <v>1656</v>
      </c>
      <c r="B576" s="129"/>
      <c r="C576" s="129" t="s">
        <v>138</v>
      </c>
      <c r="D576" s="129" t="s">
        <v>139</v>
      </c>
    </row>
    <row r="577" spans="1:4">
      <c r="A577" s="129" t="s">
        <v>1657</v>
      </c>
      <c r="B577" s="129"/>
      <c r="C577" s="129" t="s">
        <v>138</v>
      </c>
      <c r="D577" s="129" t="s">
        <v>139</v>
      </c>
    </row>
    <row r="578" spans="1:4">
      <c r="A578" s="129" t="s">
        <v>1658</v>
      </c>
      <c r="B578" s="129"/>
      <c r="C578" s="129" t="s">
        <v>138</v>
      </c>
      <c r="D578" s="129" t="s">
        <v>139</v>
      </c>
    </row>
    <row r="579" spans="1:4">
      <c r="A579" s="129" t="s">
        <v>1659</v>
      </c>
      <c r="B579" s="129"/>
      <c r="C579" s="129" t="s">
        <v>138</v>
      </c>
      <c r="D579" s="129" t="s">
        <v>139</v>
      </c>
    </row>
    <row r="580" spans="1:4">
      <c r="A580" s="129" t="s">
        <v>1660</v>
      </c>
      <c r="B580" s="129"/>
      <c r="C580" s="129" t="s">
        <v>138</v>
      </c>
      <c r="D580" s="129" t="s">
        <v>139</v>
      </c>
    </row>
    <row r="581" spans="1:4">
      <c r="A581" s="129" t="s">
        <v>1661</v>
      </c>
      <c r="B581" s="129"/>
      <c r="C581" s="129" t="s">
        <v>138</v>
      </c>
      <c r="D581" s="129" t="s">
        <v>139</v>
      </c>
    </row>
    <row r="582" spans="1:4">
      <c r="A582" s="129" t="s">
        <v>1662</v>
      </c>
      <c r="B582" s="129"/>
      <c r="C582" s="129" t="s">
        <v>138</v>
      </c>
      <c r="D582" s="129" t="s">
        <v>139</v>
      </c>
    </row>
    <row r="583" spans="1:4">
      <c r="A583" s="129" t="s">
        <v>1663</v>
      </c>
      <c r="B583" s="129"/>
      <c r="C583" s="129" t="s">
        <v>138</v>
      </c>
      <c r="D583" s="129" t="s">
        <v>139</v>
      </c>
    </row>
    <row r="584" spans="1:4">
      <c r="A584" s="129" t="s">
        <v>1664</v>
      </c>
      <c r="B584" s="129"/>
      <c r="C584" s="129" t="s">
        <v>138</v>
      </c>
      <c r="D584" s="129" t="s">
        <v>139</v>
      </c>
    </row>
    <row r="585" spans="1:4">
      <c r="A585" s="129" t="s">
        <v>1665</v>
      </c>
      <c r="B585" s="129"/>
      <c r="C585" s="129" t="s">
        <v>138</v>
      </c>
      <c r="D585" s="129" t="s">
        <v>139</v>
      </c>
    </row>
    <row r="586" spans="1:4">
      <c r="A586" s="129" t="s">
        <v>1666</v>
      </c>
      <c r="B586" s="129"/>
      <c r="C586" s="129" t="s">
        <v>138</v>
      </c>
      <c r="D586" s="129" t="s">
        <v>139</v>
      </c>
    </row>
    <row r="587" spans="1:4">
      <c r="A587" s="129" t="s">
        <v>1667</v>
      </c>
      <c r="B587" s="129"/>
      <c r="C587" s="129" t="s">
        <v>138</v>
      </c>
      <c r="D587" s="129" t="s">
        <v>139</v>
      </c>
    </row>
    <row r="588" spans="1:4">
      <c r="A588" s="129" t="s">
        <v>1668</v>
      </c>
      <c r="B588" s="129"/>
      <c r="C588" s="129" t="s">
        <v>138</v>
      </c>
      <c r="D588" s="129" t="s">
        <v>139</v>
      </c>
    </row>
    <row r="589" spans="1:4">
      <c r="A589" s="129" t="s">
        <v>1669</v>
      </c>
      <c r="B589" s="129"/>
      <c r="C589" s="129" t="s">
        <v>138</v>
      </c>
      <c r="D589" s="129" t="s">
        <v>139</v>
      </c>
    </row>
    <row r="590" spans="1:4">
      <c r="A590" s="129" t="s">
        <v>1670</v>
      </c>
      <c r="B590" s="129"/>
      <c r="C590" s="129" t="s">
        <v>138</v>
      </c>
      <c r="D590" s="129" t="s">
        <v>139</v>
      </c>
    </row>
    <row r="591" spans="1:4">
      <c r="A591" s="129" t="s">
        <v>737</v>
      </c>
      <c r="B591" s="129"/>
      <c r="C591" s="129" t="s">
        <v>138</v>
      </c>
      <c r="D591" s="129" t="s">
        <v>139</v>
      </c>
    </row>
    <row r="592" spans="1:4">
      <c r="A592" s="129" t="s">
        <v>1358</v>
      </c>
      <c r="B592" s="129"/>
      <c r="C592" s="129" t="s">
        <v>138</v>
      </c>
      <c r="D592" s="129" t="s">
        <v>139</v>
      </c>
    </row>
    <row r="593" spans="1:4">
      <c r="A593" s="129" t="s">
        <v>1671</v>
      </c>
      <c r="B593" s="129"/>
      <c r="C593" s="129" t="s">
        <v>138</v>
      </c>
      <c r="D593" s="129" t="s">
        <v>139</v>
      </c>
    </row>
    <row r="594" spans="1:4">
      <c r="A594" s="129" t="s">
        <v>1672</v>
      </c>
      <c r="B594" s="129"/>
      <c r="C594" s="129" t="s">
        <v>138</v>
      </c>
      <c r="D594" s="129" t="s">
        <v>139</v>
      </c>
    </row>
    <row r="595" spans="1:4">
      <c r="A595" s="129" t="s">
        <v>1673</v>
      </c>
      <c r="B595" s="129"/>
      <c r="C595" s="129" t="s">
        <v>138</v>
      </c>
      <c r="D595" s="129" t="s">
        <v>139</v>
      </c>
    </row>
    <row r="596" spans="1:4">
      <c r="A596" s="129" t="s">
        <v>1674</v>
      </c>
      <c r="B596" s="129"/>
      <c r="C596" s="129" t="s">
        <v>138</v>
      </c>
      <c r="D596" s="129" t="s">
        <v>139</v>
      </c>
    </row>
    <row r="597" spans="1:4">
      <c r="A597" s="129" t="s">
        <v>694</v>
      </c>
      <c r="B597" s="129"/>
      <c r="C597" s="129" t="s">
        <v>138</v>
      </c>
      <c r="D597" s="129" t="s">
        <v>139</v>
      </c>
    </row>
    <row r="598" spans="1:4">
      <c r="A598" s="129" t="s">
        <v>1675</v>
      </c>
      <c r="B598" s="129"/>
      <c r="C598" s="129" t="s">
        <v>138</v>
      </c>
      <c r="D598" s="129" t="s">
        <v>139</v>
      </c>
    </row>
    <row r="599" spans="1:4">
      <c r="A599" s="129" t="s">
        <v>1676</v>
      </c>
      <c r="B599" s="129"/>
      <c r="C599" s="129" t="s">
        <v>138</v>
      </c>
      <c r="D599" s="129" t="s">
        <v>139</v>
      </c>
    </row>
    <row r="600" spans="1:4">
      <c r="A600" s="129" t="s">
        <v>1677</v>
      </c>
      <c r="B600" s="129"/>
      <c r="C600" s="129" t="s">
        <v>138</v>
      </c>
      <c r="D600" s="129" t="s">
        <v>139</v>
      </c>
    </row>
    <row r="601" spans="1:4">
      <c r="A601" s="129" t="s">
        <v>1678</v>
      </c>
      <c r="B601" s="129"/>
      <c r="C601" s="129" t="s">
        <v>138</v>
      </c>
      <c r="D601" s="129" t="s">
        <v>139</v>
      </c>
    </row>
    <row r="602" spans="1:4">
      <c r="A602" s="129" t="s">
        <v>1679</v>
      </c>
      <c r="B602" s="129"/>
      <c r="C602" s="129" t="s">
        <v>138</v>
      </c>
      <c r="D602" s="129" t="s">
        <v>139</v>
      </c>
    </row>
    <row r="603" spans="1:4">
      <c r="A603" s="129" t="s">
        <v>860</v>
      </c>
      <c r="B603" s="129"/>
      <c r="C603" s="129" t="s">
        <v>32</v>
      </c>
      <c r="D603" s="129" t="s">
        <v>33</v>
      </c>
    </row>
    <row r="604" spans="1:4">
      <c r="A604" s="129" t="s">
        <v>861</v>
      </c>
      <c r="B604" s="129"/>
      <c r="C604" s="129" t="s">
        <v>32</v>
      </c>
      <c r="D604" s="129" t="s">
        <v>33</v>
      </c>
    </row>
    <row r="605" spans="1:4">
      <c r="A605" s="129" t="s">
        <v>862</v>
      </c>
      <c r="B605" s="129"/>
      <c r="C605" s="129" t="s">
        <v>32</v>
      </c>
      <c r="D605" s="129" t="s">
        <v>33</v>
      </c>
    </row>
    <row r="606" spans="1:4">
      <c r="A606" s="129" t="s">
        <v>863</v>
      </c>
      <c r="B606" s="129"/>
      <c r="C606" s="129" t="s">
        <v>32</v>
      </c>
      <c r="D606" s="129" t="s">
        <v>33</v>
      </c>
    </row>
    <row r="607" spans="1:4">
      <c r="A607" s="129" t="s">
        <v>864</v>
      </c>
      <c r="B607" s="129"/>
      <c r="C607" s="129" t="s">
        <v>32</v>
      </c>
      <c r="D607" s="129" t="s">
        <v>33</v>
      </c>
    </row>
    <row r="608" spans="1:4">
      <c r="A608" s="129" t="s">
        <v>865</v>
      </c>
      <c r="B608" s="129"/>
      <c r="C608" s="129" t="s">
        <v>32</v>
      </c>
      <c r="D608" s="129" t="s">
        <v>33</v>
      </c>
    </row>
    <row r="609" spans="1:4">
      <c r="A609" s="129" t="s">
        <v>866</v>
      </c>
      <c r="B609" s="129"/>
      <c r="C609" s="129" t="s">
        <v>32</v>
      </c>
      <c r="D609" s="129" t="s">
        <v>33</v>
      </c>
    </row>
    <row r="610" spans="1:4">
      <c r="A610" s="129" t="s">
        <v>867</v>
      </c>
      <c r="B610" s="129"/>
      <c r="C610" s="129" t="s">
        <v>32</v>
      </c>
      <c r="D610" s="129" t="s">
        <v>33</v>
      </c>
    </row>
    <row r="611" spans="1:4">
      <c r="A611" s="129" t="s">
        <v>868</v>
      </c>
      <c r="B611" s="129"/>
      <c r="C611" s="129" t="s">
        <v>32</v>
      </c>
      <c r="D611" s="129" t="s">
        <v>33</v>
      </c>
    </row>
    <row r="612" spans="1:4">
      <c r="A612" s="129" t="s">
        <v>869</v>
      </c>
      <c r="B612" s="129"/>
      <c r="C612" s="129" t="s">
        <v>32</v>
      </c>
      <c r="D612" s="129" t="s">
        <v>33</v>
      </c>
    </row>
    <row r="613" spans="1:4">
      <c r="A613" s="129" t="s">
        <v>870</v>
      </c>
      <c r="B613" s="129"/>
      <c r="C613" s="129" t="s">
        <v>32</v>
      </c>
      <c r="D613" s="129" t="s">
        <v>33</v>
      </c>
    </row>
    <row r="614" spans="1:4">
      <c r="A614" s="129" t="s">
        <v>871</v>
      </c>
      <c r="B614" s="129"/>
      <c r="C614" s="129" t="s">
        <v>32</v>
      </c>
      <c r="D614" s="129" t="s">
        <v>33</v>
      </c>
    </row>
    <row r="615" spans="1:4">
      <c r="A615" s="129" t="s">
        <v>872</v>
      </c>
      <c r="B615" s="129"/>
      <c r="C615" s="129" t="s">
        <v>32</v>
      </c>
      <c r="D615" s="129" t="s">
        <v>33</v>
      </c>
    </row>
    <row r="616" spans="1:4">
      <c r="A616" s="129" t="s">
        <v>873</v>
      </c>
      <c r="B616" s="129"/>
      <c r="C616" s="129" t="s">
        <v>32</v>
      </c>
      <c r="D616" s="129" t="s">
        <v>33</v>
      </c>
    </row>
    <row r="617" spans="1:4">
      <c r="A617" s="129" t="s">
        <v>874</v>
      </c>
      <c r="B617" s="129"/>
      <c r="C617" s="129" t="s">
        <v>32</v>
      </c>
      <c r="D617" s="129" t="s">
        <v>33</v>
      </c>
    </row>
    <row r="618" spans="1:4">
      <c r="A618" s="129" t="s">
        <v>2449</v>
      </c>
      <c r="B618" s="129" t="s">
        <v>875</v>
      </c>
      <c r="C618" s="129" t="s">
        <v>32</v>
      </c>
      <c r="D618" s="129" t="s">
        <v>33</v>
      </c>
    </row>
    <row r="619" spans="1:4">
      <c r="A619" s="129" t="s">
        <v>2449</v>
      </c>
      <c r="B619" s="129" t="s">
        <v>876</v>
      </c>
      <c r="C619" s="129" t="s">
        <v>32</v>
      </c>
      <c r="D619" s="129" t="s">
        <v>33</v>
      </c>
    </row>
    <row r="620" spans="1:4">
      <c r="A620" s="129" t="s">
        <v>877</v>
      </c>
      <c r="B620" s="129"/>
      <c r="C620" s="129" t="s">
        <v>32</v>
      </c>
      <c r="D620" s="129" t="s">
        <v>33</v>
      </c>
    </row>
    <row r="621" spans="1:4">
      <c r="A621" s="129" t="s">
        <v>878</v>
      </c>
      <c r="B621" s="129"/>
      <c r="C621" s="129" t="s">
        <v>32</v>
      </c>
      <c r="D621" s="129" t="s">
        <v>33</v>
      </c>
    </row>
    <row r="622" spans="1:4">
      <c r="A622" s="129" t="s">
        <v>879</v>
      </c>
      <c r="B622" s="129"/>
      <c r="C622" s="129" t="s">
        <v>32</v>
      </c>
      <c r="D622" s="129" t="s">
        <v>33</v>
      </c>
    </row>
    <row r="623" spans="1:4">
      <c r="A623" s="129" t="s">
        <v>880</v>
      </c>
      <c r="B623" s="129"/>
      <c r="C623" s="129" t="s">
        <v>32</v>
      </c>
      <c r="D623" s="129" t="s">
        <v>33</v>
      </c>
    </row>
    <row r="624" spans="1:4">
      <c r="A624" s="129" t="s">
        <v>881</v>
      </c>
      <c r="B624" s="129"/>
      <c r="C624" s="129" t="s">
        <v>32</v>
      </c>
      <c r="D624" s="129" t="s">
        <v>33</v>
      </c>
    </row>
    <row r="625" spans="1:4">
      <c r="A625" s="129" t="s">
        <v>882</v>
      </c>
      <c r="B625" s="129"/>
      <c r="C625" s="129" t="s">
        <v>32</v>
      </c>
      <c r="D625" s="129" t="s">
        <v>33</v>
      </c>
    </row>
    <row r="626" spans="1:4">
      <c r="A626" s="129" t="s">
        <v>883</v>
      </c>
      <c r="B626" s="129"/>
      <c r="C626" s="129" t="s">
        <v>32</v>
      </c>
      <c r="D626" s="129" t="s">
        <v>33</v>
      </c>
    </row>
    <row r="627" spans="1:4">
      <c r="A627" s="129" t="s">
        <v>884</v>
      </c>
      <c r="B627" s="129"/>
      <c r="C627" s="129" t="s">
        <v>32</v>
      </c>
      <c r="D627" s="129" t="s">
        <v>33</v>
      </c>
    </row>
    <row r="628" spans="1:4">
      <c r="A628" s="129" t="s">
        <v>885</v>
      </c>
      <c r="B628" s="129"/>
      <c r="C628" s="129" t="s">
        <v>32</v>
      </c>
      <c r="D628" s="129" t="s">
        <v>33</v>
      </c>
    </row>
    <row r="629" spans="1:4">
      <c r="A629" s="129" t="s">
        <v>886</v>
      </c>
      <c r="B629" s="129"/>
      <c r="C629" s="129" t="s">
        <v>32</v>
      </c>
      <c r="D629" s="129" t="s">
        <v>33</v>
      </c>
    </row>
    <row r="630" spans="1:4">
      <c r="A630" s="129" t="s">
        <v>887</v>
      </c>
      <c r="B630" s="129"/>
      <c r="C630" s="129" t="s">
        <v>32</v>
      </c>
      <c r="D630" s="129" t="s">
        <v>33</v>
      </c>
    </row>
    <row r="631" spans="1:4">
      <c r="A631" s="129" t="s">
        <v>888</v>
      </c>
      <c r="B631" s="129"/>
      <c r="C631" s="129" t="s">
        <v>32</v>
      </c>
      <c r="D631" s="129" t="s">
        <v>33</v>
      </c>
    </row>
    <row r="632" spans="1:4">
      <c r="A632" s="129" t="s">
        <v>889</v>
      </c>
      <c r="B632" s="129"/>
      <c r="C632" s="129" t="s">
        <v>32</v>
      </c>
      <c r="D632" s="129" t="s">
        <v>33</v>
      </c>
    </row>
    <row r="633" spans="1:4">
      <c r="A633" s="129" t="s">
        <v>890</v>
      </c>
      <c r="B633" s="129"/>
      <c r="C633" s="129" t="s">
        <v>32</v>
      </c>
      <c r="D633" s="129" t="s">
        <v>33</v>
      </c>
    </row>
    <row r="634" spans="1:4">
      <c r="A634" s="129" t="s">
        <v>891</v>
      </c>
      <c r="B634" s="129"/>
      <c r="C634" s="129" t="s">
        <v>32</v>
      </c>
      <c r="D634" s="129" t="s">
        <v>33</v>
      </c>
    </row>
    <row r="635" spans="1:4">
      <c r="A635" s="129" t="s">
        <v>892</v>
      </c>
      <c r="B635" s="129"/>
      <c r="C635" s="129" t="s">
        <v>32</v>
      </c>
      <c r="D635" s="129" t="s">
        <v>33</v>
      </c>
    </row>
    <row r="636" spans="1:4">
      <c r="A636" s="129" t="s">
        <v>893</v>
      </c>
      <c r="B636" s="129"/>
      <c r="C636" s="129" t="s">
        <v>32</v>
      </c>
      <c r="D636" s="129" t="s">
        <v>33</v>
      </c>
    </row>
    <row r="637" spans="1:4">
      <c r="A637" s="129" t="s">
        <v>894</v>
      </c>
      <c r="B637" s="129"/>
      <c r="C637" s="129" t="s">
        <v>32</v>
      </c>
      <c r="D637" s="129" t="s">
        <v>33</v>
      </c>
    </row>
    <row r="638" spans="1:4">
      <c r="A638" s="129" t="s">
        <v>895</v>
      </c>
      <c r="B638" s="129"/>
      <c r="C638" s="129" t="s">
        <v>32</v>
      </c>
      <c r="D638" s="129" t="s">
        <v>33</v>
      </c>
    </row>
    <row r="639" spans="1:4">
      <c r="A639" s="129" t="s">
        <v>896</v>
      </c>
      <c r="B639" s="129"/>
      <c r="C639" s="129" t="s">
        <v>32</v>
      </c>
      <c r="D639" s="129" t="s">
        <v>33</v>
      </c>
    </row>
    <row r="640" spans="1:4">
      <c r="A640" s="129" t="s">
        <v>897</v>
      </c>
      <c r="B640" s="129"/>
      <c r="C640" s="129" t="s">
        <v>32</v>
      </c>
      <c r="D640" s="129" t="s">
        <v>33</v>
      </c>
    </row>
    <row r="641" spans="1:4">
      <c r="A641" s="129" t="s">
        <v>898</v>
      </c>
      <c r="B641" s="129"/>
      <c r="C641" s="129" t="s">
        <v>32</v>
      </c>
      <c r="D641" s="129" t="s">
        <v>33</v>
      </c>
    </row>
    <row r="642" spans="1:4">
      <c r="A642" s="129" t="s">
        <v>2452</v>
      </c>
      <c r="B642" s="129" t="s">
        <v>899</v>
      </c>
      <c r="C642" s="129" t="s">
        <v>32</v>
      </c>
      <c r="D642" s="129" t="s">
        <v>33</v>
      </c>
    </row>
    <row r="643" spans="1:4">
      <c r="A643" s="129" t="s">
        <v>2453</v>
      </c>
      <c r="B643" s="129" t="s">
        <v>900</v>
      </c>
      <c r="C643" s="129" t="s">
        <v>32</v>
      </c>
      <c r="D643" s="129" t="s">
        <v>33</v>
      </c>
    </row>
    <row r="644" spans="1:4">
      <c r="A644" s="129" t="s">
        <v>2453</v>
      </c>
      <c r="B644" s="129" t="s">
        <v>901</v>
      </c>
      <c r="C644" s="129" t="s">
        <v>32</v>
      </c>
      <c r="D644" s="129" t="s">
        <v>33</v>
      </c>
    </row>
    <row r="645" spans="1:4">
      <c r="A645" s="129" t="s">
        <v>902</v>
      </c>
      <c r="B645" s="129"/>
      <c r="C645" s="129" t="s">
        <v>32</v>
      </c>
      <c r="D645" s="129" t="s">
        <v>33</v>
      </c>
    </row>
    <row r="646" spans="1:4">
      <c r="A646" s="129" t="s">
        <v>903</v>
      </c>
      <c r="B646" s="129"/>
      <c r="C646" s="129" t="s">
        <v>32</v>
      </c>
      <c r="D646" s="129" t="s">
        <v>33</v>
      </c>
    </row>
    <row r="647" spans="1:4">
      <c r="A647" s="129" t="s">
        <v>904</v>
      </c>
      <c r="B647" s="129"/>
      <c r="C647" s="129" t="s">
        <v>32</v>
      </c>
      <c r="D647" s="129" t="s">
        <v>33</v>
      </c>
    </row>
    <row r="648" spans="1:4">
      <c r="A648" s="129" t="s">
        <v>2454</v>
      </c>
      <c r="B648" s="129" t="s">
        <v>905</v>
      </c>
      <c r="C648" s="129" t="s">
        <v>32</v>
      </c>
      <c r="D648" s="129" t="s">
        <v>33</v>
      </c>
    </row>
    <row r="649" spans="1:4">
      <c r="A649" s="129" t="s">
        <v>906</v>
      </c>
      <c r="B649" s="129"/>
      <c r="C649" s="129" t="s">
        <v>32</v>
      </c>
      <c r="D649" s="129" t="s">
        <v>33</v>
      </c>
    </row>
    <row r="650" spans="1:4">
      <c r="A650" s="129" t="s">
        <v>907</v>
      </c>
      <c r="B650" s="129"/>
      <c r="C650" s="129" t="s">
        <v>32</v>
      </c>
      <c r="D650" s="129" t="s">
        <v>33</v>
      </c>
    </row>
    <row r="651" spans="1:4">
      <c r="A651" s="129" t="s">
        <v>908</v>
      </c>
      <c r="B651" s="129"/>
      <c r="C651" s="129" t="s">
        <v>32</v>
      </c>
      <c r="D651" s="129" t="s">
        <v>33</v>
      </c>
    </row>
    <row r="652" spans="1:4">
      <c r="A652" s="129" t="s">
        <v>909</v>
      </c>
      <c r="B652" s="129"/>
      <c r="C652" s="129" t="s">
        <v>32</v>
      </c>
      <c r="D652" s="129" t="s">
        <v>33</v>
      </c>
    </row>
    <row r="653" spans="1:4">
      <c r="A653" s="129" t="s">
        <v>2455</v>
      </c>
      <c r="B653" s="129" t="s">
        <v>910</v>
      </c>
      <c r="C653" s="129" t="s">
        <v>32</v>
      </c>
      <c r="D653" s="129" t="s">
        <v>33</v>
      </c>
    </row>
    <row r="654" spans="1:4">
      <c r="A654" s="129" t="s">
        <v>2456</v>
      </c>
      <c r="B654" s="129" t="s">
        <v>911</v>
      </c>
      <c r="C654" s="129" t="s">
        <v>32</v>
      </c>
      <c r="D654" s="129" t="s">
        <v>33</v>
      </c>
    </row>
    <row r="655" spans="1:4">
      <c r="A655" s="129" t="s">
        <v>912</v>
      </c>
      <c r="B655" s="129"/>
      <c r="C655" s="129" t="s">
        <v>32</v>
      </c>
      <c r="D655" s="129" t="s">
        <v>33</v>
      </c>
    </row>
    <row r="656" spans="1:4">
      <c r="A656" s="129" t="s">
        <v>913</v>
      </c>
      <c r="B656" s="129"/>
      <c r="C656" s="129" t="s">
        <v>32</v>
      </c>
      <c r="D656" s="129" t="s">
        <v>33</v>
      </c>
    </row>
    <row r="657" spans="1:4">
      <c r="A657" s="129" t="s">
        <v>914</v>
      </c>
      <c r="B657" s="129"/>
      <c r="C657" s="129" t="s">
        <v>32</v>
      </c>
      <c r="D657" s="129" t="s">
        <v>33</v>
      </c>
    </row>
    <row r="658" spans="1:4">
      <c r="A658" s="129" t="s">
        <v>915</v>
      </c>
      <c r="B658" s="129"/>
      <c r="C658" s="129" t="s">
        <v>32</v>
      </c>
      <c r="D658" s="129" t="s">
        <v>33</v>
      </c>
    </row>
    <row r="659" spans="1:4">
      <c r="A659" s="129" t="s">
        <v>916</v>
      </c>
      <c r="B659" s="129"/>
      <c r="C659" s="129" t="s">
        <v>32</v>
      </c>
      <c r="D659" s="129" t="s">
        <v>33</v>
      </c>
    </row>
    <row r="660" spans="1:4">
      <c r="A660" s="129" t="s">
        <v>917</v>
      </c>
      <c r="B660" s="129"/>
      <c r="C660" s="129" t="s">
        <v>32</v>
      </c>
      <c r="D660" s="129" t="s">
        <v>33</v>
      </c>
    </row>
    <row r="661" spans="1:4">
      <c r="A661" s="129" t="s">
        <v>918</v>
      </c>
      <c r="B661" s="129"/>
      <c r="C661" s="129" t="s">
        <v>32</v>
      </c>
      <c r="D661" s="129" t="s">
        <v>33</v>
      </c>
    </row>
    <row r="662" spans="1:4">
      <c r="A662" s="129" t="s">
        <v>919</v>
      </c>
      <c r="B662" s="129"/>
      <c r="C662" s="129" t="s">
        <v>32</v>
      </c>
      <c r="D662" s="129" t="s">
        <v>33</v>
      </c>
    </row>
    <row r="663" spans="1:4">
      <c r="A663" s="129" t="s">
        <v>920</v>
      </c>
      <c r="B663" s="129"/>
      <c r="C663" s="129" t="s">
        <v>32</v>
      </c>
      <c r="D663" s="129" t="s">
        <v>33</v>
      </c>
    </row>
    <row r="664" spans="1:4">
      <c r="A664" s="129" t="s">
        <v>921</v>
      </c>
      <c r="B664" s="129"/>
      <c r="C664" s="129" t="s">
        <v>32</v>
      </c>
      <c r="D664" s="129" t="s">
        <v>33</v>
      </c>
    </row>
    <row r="665" spans="1:4">
      <c r="A665" s="129" t="s">
        <v>922</v>
      </c>
      <c r="B665" s="129"/>
      <c r="C665" s="129" t="s">
        <v>32</v>
      </c>
      <c r="D665" s="129" t="s">
        <v>33</v>
      </c>
    </row>
    <row r="666" spans="1:4">
      <c r="A666" s="129" t="s">
        <v>923</v>
      </c>
      <c r="B666" s="129"/>
      <c r="C666" s="129" t="s">
        <v>32</v>
      </c>
      <c r="D666" s="129" t="s">
        <v>33</v>
      </c>
    </row>
    <row r="667" spans="1:4">
      <c r="A667" s="129" t="s">
        <v>2457</v>
      </c>
      <c r="B667" s="129" t="s">
        <v>924</v>
      </c>
      <c r="C667" s="129" t="s">
        <v>32</v>
      </c>
      <c r="D667" s="129" t="s">
        <v>33</v>
      </c>
    </row>
    <row r="668" spans="1:4">
      <c r="A668" s="129" t="s">
        <v>2457</v>
      </c>
      <c r="B668" s="129" t="s">
        <v>925</v>
      </c>
      <c r="C668" s="129" t="s">
        <v>32</v>
      </c>
      <c r="D668" s="129" t="s">
        <v>33</v>
      </c>
    </row>
    <row r="669" spans="1:4">
      <c r="A669" s="129" t="s">
        <v>2460</v>
      </c>
      <c r="B669" s="129" t="s">
        <v>926</v>
      </c>
      <c r="C669" s="129" t="s">
        <v>32</v>
      </c>
      <c r="D669" s="129" t="s">
        <v>33</v>
      </c>
    </row>
    <row r="670" spans="1:4">
      <c r="A670" s="129" t="s">
        <v>2461</v>
      </c>
      <c r="B670" s="129" t="s">
        <v>927</v>
      </c>
      <c r="C670" s="129" t="s">
        <v>32</v>
      </c>
      <c r="D670" s="129" t="s">
        <v>33</v>
      </c>
    </row>
    <row r="671" spans="1:4">
      <c r="A671" s="129" t="s">
        <v>928</v>
      </c>
      <c r="B671" s="129"/>
      <c r="C671" s="129" t="s">
        <v>32</v>
      </c>
      <c r="D671" s="129" t="s">
        <v>33</v>
      </c>
    </row>
    <row r="672" spans="1:4">
      <c r="A672" s="129" t="s">
        <v>2464</v>
      </c>
      <c r="B672" s="129" t="s">
        <v>929</v>
      </c>
      <c r="C672" s="129" t="s">
        <v>32</v>
      </c>
      <c r="D672" s="129" t="s">
        <v>33</v>
      </c>
    </row>
    <row r="673" spans="1:4">
      <c r="A673" s="129" t="s">
        <v>2465</v>
      </c>
      <c r="B673" s="129" t="s">
        <v>930</v>
      </c>
      <c r="C673" s="129" t="s">
        <v>32</v>
      </c>
      <c r="D673" s="129" t="s">
        <v>33</v>
      </c>
    </row>
    <row r="674" spans="1:4">
      <c r="A674" s="129" t="s">
        <v>2465</v>
      </c>
      <c r="B674" s="129" t="s">
        <v>931</v>
      </c>
      <c r="C674" s="129" t="s">
        <v>32</v>
      </c>
      <c r="D674" s="129" t="s">
        <v>33</v>
      </c>
    </row>
    <row r="675" spans="1:4">
      <c r="A675" s="129" t="s">
        <v>2465</v>
      </c>
      <c r="B675" s="129" t="s">
        <v>932</v>
      </c>
      <c r="C675" s="129" t="s">
        <v>32</v>
      </c>
      <c r="D675" s="129" t="s">
        <v>33</v>
      </c>
    </row>
    <row r="676" spans="1:4">
      <c r="A676" s="129" t="s">
        <v>933</v>
      </c>
      <c r="B676" s="129"/>
      <c r="C676" s="129" t="s">
        <v>32</v>
      </c>
      <c r="D676" s="129" t="s">
        <v>33</v>
      </c>
    </row>
    <row r="677" spans="1:4">
      <c r="A677" s="129" t="s">
        <v>934</v>
      </c>
      <c r="B677" s="129"/>
      <c r="C677" s="129" t="s">
        <v>32</v>
      </c>
      <c r="D677" s="129" t="s">
        <v>33</v>
      </c>
    </row>
    <row r="678" spans="1:4">
      <c r="A678" s="129" t="s">
        <v>934</v>
      </c>
      <c r="B678" s="129" t="s">
        <v>935</v>
      </c>
      <c r="C678" s="129" t="s">
        <v>32</v>
      </c>
      <c r="D678" s="129" t="s">
        <v>33</v>
      </c>
    </row>
    <row r="679" spans="1:4">
      <c r="A679" s="129" t="s">
        <v>936</v>
      </c>
      <c r="B679" s="129"/>
      <c r="C679" s="129" t="s">
        <v>32</v>
      </c>
      <c r="D679" s="129" t="s">
        <v>33</v>
      </c>
    </row>
    <row r="680" spans="1:4">
      <c r="A680" s="129" t="s">
        <v>937</v>
      </c>
      <c r="B680" s="129"/>
      <c r="C680" s="129" t="s">
        <v>32</v>
      </c>
      <c r="D680" s="129" t="s">
        <v>33</v>
      </c>
    </row>
    <row r="681" spans="1:4">
      <c r="A681" s="129" t="s">
        <v>938</v>
      </c>
      <c r="B681" s="129"/>
      <c r="C681" s="129" t="s">
        <v>32</v>
      </c>
      <c r="D681" s="129" t="s">
        <v>33</v>
      </c>
    </row>
    <row r="682" spans="1:4">
      <c r="A682" s="129" t="s">
        <v>939</v>
      </c>
      <c r="B682" s="129"/>
      <c r="C682" s="129" t="s">
        <v>32</v>
      </c>
      <c r="D682" s="129" t="s">
        <v>33</v>
      </c>
    </row>
    <row r="683" spans="1:4">
      <c r="A683" s="129" t="s">
        <v>2466</v>
      </c>
      <c r="B683" s="129" t="s">
        <v>940</v>
      </c>
      <c r="C683" s="129" t="s">
        <v>32</v>
      </c>
      <c r="D683" s="129" t="s">
        <v>33</v>
      </c>
    </row>
    <row r="684" spans="1:4">
      <c r="A684" s="129" t="s">
        <v>941</v>
      </c>
      <c r="B684" s="129"/>
      <c r="C684" s="129" t="s">
        <v>32</v>
      </c>
      <c r="D684" s="129" t="s">
        <v>33</v>
      </c>
    </row>
    <row r="685" spans="1:4">
      <c r="A685" s="129" t="s">
        <v>942</v>
      </c>
      <c r="B685" s="129"/>
      <c r="C685" s="129" t="s">
        <v>32</v>
      </c>
      <c r="D685" s="129" t="s">
        <v>33</v>
      </c>
    </row>
    <row r="686" spans="1:4">
      <c r="A686" s="129" t="s">
        <v>943</v>
      </c>
      <c r="B686" s="129"/>
      <c r="C686" s="129" t="s">
        <v>32</v>
      </c>
      <c r="D686" s="129" t="s">
        <v>33</v>
      </c>
    </row>
    <row r="687" spans="1:4">
      <c r="A687" s="129" t="s">
        <v>944</v>
      </c>
      <c r="B687" s="129"/>
      <c r="C687" s="129" t="s">
        <v>32</v>
      </c>
      <c r="D687" s="129" t="s">
        <v>33</v>
      </c>
    </row>
    <row r="688" spans="1:4">
      <c r="A688" s="129" t="s">
        <v>944</v>
      </c>
      <c r="B688" s="129" t="s">
        <v>945</v>
      </c>
      <c r="C688" s="129" t="s">
        <v>32</v>
      </c>
      <c r="D688" s="129" t="s">
        <v>33</v>
      </c>
    </row>
    <row r="689" spans="1:4">
      <c r="A689" s="129" t="s">
        <v>1824</v>
      </c>
      <c r="B689" s="129" t="s">
        <v>946</v>
      </c>
      <c r="C689" s="129" t="s">
        <v>32</v>
      </c>
      <c r="D689" s="129" t="s">
        <v>33</v>
      </c>
    </row>
    <row r="690" spans="1:4">
      <c r="A690" s="129" t="s">
        <v>947</v>
      </c>
      <c r="B690" s="129"/>
      <c r="C690" s="129" t="s">
        <v>32</v>
      </c>
      <c r="D690" s="129" t="s">
        <v>33</v>
      </c>
    </row>
    <row r="691" spans="1:4">
      <c r="A691" s="129" t="s">
        <v>948</v>
      </c>
      <c r="B691" s="129"/>
      <c r="C691" s="129" t="s">
        <v>32</v>
      </c>
      <c r="D691" s="129" t="s">
        <v>33</v>
      </c>
    </row>
    <row r="692" spans="1:4">
      <c r="A692" s="129" t="s">
        <v>949</v>
      </c>
      <c r="B692" s="129"/>
      <c r="C692" s="129" t="s">
        <v>32</v>
      </c>
      <c r="D692" s="129" t="s">
        <v>33</v>
      </c>
    </row>
    <row r="693" spans="1:4">
      <c r="A693" s="129" t="s">
        <v>2468</v>
      </c>
      <c r="B693" s="129" t="s">
        <v>950</v>
      </c>
      <c r="C693" s="129" t="s">
        <v>32</v>
      </c>
      <c r="D693" s="129" t="s">
        <v>33</v>
      </c>
    </row>
    <row r="694" spans="1:4">
      <c r="A694" s="129" t="s">
        <v>951</v>
      </c>
      <c r="B694" s="129"/>
      <c r="C694" s="129" t="s">
        <v>32</v>
      </c>
      <c r="D694" s="129" t="s">
        <v>33</v>
      </c>
    </row>
    <row r="695" spans="1:4">
      <c r="A695" s="129" t="s">
        <v>952</v>
      </c>
      <c r="B695" s="129"/>
      <c r="C695" s="129" t="s">
        <v>32</v>
      </c>
      <c r="D695" s="129" t="s">
        <v>33</v>
      </c>
    </row>
    <row r="696" spans="1:4">
      <c r="A696" s="129" t="s">
        <v>953</v>
      </c>
      <c r="B696" s="129"/>
      <c r="C696" s="129" t="s">
        <v>32</v>
      </c>
      <c r="D696" s="129" t="s">
        <v>33</v>
      </c>
    </row>
    <row r="697" spans="1:4">
      <c r="A697" s="129" t="s">
        <v>2470</v>
      </c>
      <c r="B697" s="129" t="s">
        <v>954</v>
      </c>
      <c r="C697" s="129" t="s">
        <v>32</v>
      </c>
      <c r="D697" s="129" t="s">
        <v>33</v>
      </c>
    </row>
    <row r="698" spans="1:4">
      <c r="A698" s="129" t="s">
        <v>955</v>
      </c>
      <c r="B698" s="129"/>
      <c r="C698" s="129" t="s">
        <v>32</v>
      </c>
      <c r="D698" s="129" t="s">
        <v>33</v>
      </c>
    </row>
    <row r="699" spans="1:4">
      <c r="A699" s="129" t="s">
        <v>956</v>
      </c>
      <c r="B699" s="129"/>
      <c r="C699" s="129" t="s">
        <v>32</v>
      </c>
      <c r="D699" s="129" t="s">
        <v>33</v>
      </c>
    </row>
    <row r="700" spans="1:4">
      <c r="A700" s="129" t="s">
        <v>2471</v>
      </c>
      <c r="B700" s="129" t="s">
        <v>957</v>
      </c>
      <c r="C700" s="129" t="s">
        <v>32</v>
      </c>
      <c r="D700" s="129" t="s">
        <v>33</v>
      </c>
    </row>
    <row r="701" spans="1:4">
      <c r="A701" s="129" t="s">
        <v>2471</v>
      </c>
      <c r="B701" s="129" t="s">
        <v>958</v>
      </c>
      <c r="C701" s="129" t="s">
        <v>32</v>
      </c>
      <c r="D701" s="129" t="s">
        <v>33</v>
      </c>
    </row>
    <row r="702" spans="1:4">
      <c r="A702" s="129" t="s">
        <v>959</v>
      </c>
      <c r="B702" s="129"/>
      <c r="C702" s="129" t="s">
        <v>32</v>
      </c>
      <c r="D702" s="129" t="s">
        <v>33</v>
      </c>
    </row>
    <row r="703" spans="1:4">
      <c r="A703" s="129" t="s">
        <v>960</v>
      </c>
      <c r="B703" s="129"/>
      <c r="C703" s="129" t="s">
        <v>32</v>
      </c>
      <c r="D703" s="129" t="s">
        <v>33</v>
      </c>
    </row>
    <row r="704" spans="1:4">
      <c r="A704" s="129" t="s">
        <v>961</v>
      </c>
      <c r="B704" s="129"/>
      <c r="C704" s="129" t="s">
        <v>32</v>
      </c>
      <c r="D704" s="129" t="s">
        <v>33</v>
      </c>
    </row>
    <row r="705" spans="1:4">
      <c r="A705" s="129" t="s">
        <v>962</v>
      </c>
      <c r="B705" s="129"/>
      <c r="C705" s="129" t="s">
        <v>32</v>
      </c>
      <c r="D705" s="129" t="s">
        <v>33</v>
      </c>
    </row>
    <row r="706" spans="1:4">
      <c r="A706" s="129" t="s">
        <v>2478</v>
      </c>
      <c r="B706" s="129" t="s">
        <v>963</v>
      </c>
      <c r="C706" s="129" t="s">
        <v>32</v>
      </c>
      <c r="D706" s="129" t="s">
        <v>33</v>
      </c>
    </row>
    <row r="707" spans="1:4">
      <c r="A707" s="129" t="s">
        <v>964</v>
      </c>
      <c r="B707" s="129"/>
      <c r="C707" s="129" t="s">
        <v>32</v>
      </c>
      <c r="D707" s="129" t="s">
        <v>33</v>
      </c>
    </row>
    <row r="708" spans="1:4">
      <c r="A708" s="129" t="s">
        <v>965</v>
      </c>
      <c r="B708" s="129"/>
      <c r="C708" s="129" t="s">
        <v>32</v>
      </c>
      <c r="D708" s="129" t="s">
        <v>33</v>
      </c>
    </row>
    <row r="709" spans="1:4">
      <c r="A709" s="129" t="s">
        <v>2481</v>
      </c>
      <c r="B709" s="129" t="s">
        <v>966</v>
      </c>
      <c r="C709" s="129" t="s">
        <v>32</v>
      </c>
      <c r="D709" s="129" t="s">
        <v>33</v>
      </c>
    </row>
    <row r="710" spans="1:4">
      <c r="A710" s="129" t="s">
        <v>1359</v>
      </c>
      <c r="B710" s="129"/>
      <c r="C710" s="129" t="s">
        <v>109</v>
      </c>
      <c r="D710" s="129" t="s">
        <v>110</v>
      </c>
    </row>
    <row r="711" spans="1:4">
      <c r="A711" s="129" t="s">
        <v>1360</v>
      </c>
      <c r="B711" s="129"/>
      <c r="C711" s="129" t="s">
        <v>109</v>
      </c>
      <c r="D711" s="129" t="s">
        <v>110</v>
      </c>
    </row>
    <row r="712" spans="1:4">
      <c r="A712" s="129" t="s">
        <v>1361</v>
      </c>
      <c r="B712" s="129"/>
      <c r="C712" s="129" t="s">
        <v>109</v>
      </c>
      <c r="D712" s="129" t="s">
        <v>110</v>
      </c>
    </row>
    <row r="713" spans="1:4">
      <c r="A713" s="129" t="s">
        <v>1362</v>
      </c>
      <c r="B713" s="129"/>
      <c r="C713" s="129" t="s">
        <v>109</v>
      </c>
      <c r="D713" s="129" t="s">
        <v>110</v>
      </c>
    </row>
    <row r="714" spans="1:4">
      <c r="A714" s="129" t="s">
        <v>1363</v>
      </c>
      <c r="B714" s="129"/>
      <c r="C714" s="129" t="s">
        <v>109</v>
      </c>
      <c r="D714" s="129" t="s">
        <v>110</v>
      </c>
    </row>
    <row r="715" spans="1:4">
      <c r="A715" s="129" t="s">
        <v>1364</v>
      </c>
      <c r="B715" s="129"/>
      <c r="C715" s="129" t="s">
        <v>109</v>
      </c>
      <c r="D715" s="129" t="s">
        <v>110</v>
      </c>
    </row>
    <row r="716" spans="1:4">
      <c r="A716" s="129" t="s">
        <v>1365</v>
      </c>
      <c r="B716" s="129"/>
      <c r="C716" s="129" t="s">
        <v>109</v>
      </c>
      <c r="D716" s="129" t="s">
        <v>110</v>
      </c>
    </row>
    <row r="717" spans="1:4">
      <c r="A717" s="129" t="s">
        <v>1366</v>
      </c>
      <c r="B717" s="129"/>
      <c r="C717" s="129" t="s">
        <v>109</v>
      </c>
      <c r="D717" s="129" t="s">
        <v>110</v>
      </c>
    </row>
    <row r="718" spans="1:4">
      <c r="A718" s="129" t="s">
        <v>1367</v>
      </c>
      <c r="B718" s="129"/>
      <c r="C718" s="129" t="s">
        <v>109</v>
      </c>
      <c r="D718" s="129" t="s">
        <v>110</v>
      </c>
    </row>
    <row r="719" spans="1:4">
      <c r="A719" s="129" t="s">
        <v>1368</v>
      </c>
      <c r="B719" s="129"/>
      <c r="C719" s="129" t="s">
        <v>109</v>
      </c>
      <c r="D719" s="129" t="s">
        <v>110</v>
      </c>
    </row>
    <row r="720" spans="1:4">
      <c r="A720" s="129" t="s">
        <v>1369</v>
      </c>
      <c r="B720" s="129"/>
      <c r="C720" s="129" t="s">
        <v>109</v>
      </c>
      <c r="D720" s="129" t="s">
        <v>110</v>
      </c>
    </row>
    <row r="721" spans="1:4">
      <c r="A721" s="129" t="s">
        <v>1370</v>
      </c>
      <c r="B721" s="129"/>
      <c r="C721" s="129" t="s">
        <v>109</v>
      </c>
      <c r="D721" s="129" t="s">
        <v>110</v>
      </c>
    </row>
    <row r="722" spans="1:4">
      <c r="A722" s="129" t="s">
        <v>1371</v>
      </c>
      <c r="B722" s="129"/>
      <c r="C722" s="129" t="s">
        <v>109</v>
      </c>
      <c r="D722" s="129" t="s">
        <v>110</v>
      </c>
    </row>
    <row r="723" spans="1:4">
      <c r="A723" s="129" t="s">
        <v>1372</v>
      </c>
      <c r="B723" s="129"/>
      <c r="C723" s="129" t="s">
        <v>109</v>
      </c>
      <c r="D723" s="129" t="s">
        <v>110</v>
      </c>
    </row>
    <row r="724" spans="1:4">
      <c r="A724" s="129" t="s">
        <v>1353</v>
      </c>
      <c r="B724" s="129"/>
      <c r="C724" s="129" t="s">
        <v>109</v>
      </c>
      <c r="D724" s="129" t="s">
        <v>110</v>
      </c>
    </row>
    <row r="725" spans="1:4">
      <c r="A725" s="129" t="s">
        <v>1373</v>
      </c>
      <c r="B725" s="129"/>
      <c r="C725" s="129" t="s">
        <v>109</v>
      </c>
      <c r="D725" s="129" t="s">
        <v>110</v>
      </c>
    </row>
    <row r="726" spans="1:4">
      <c r="A726" s="129" t="s">
        <v>1374</v>
      </c>
      <c r="B726" s="129"/>
      <c r="C726" s="129" t="s">
        <v>109</v>
      </c>
      <c r="D726" s="129" t="s">
        <v>110</v>
      </c>
    </row>
    <row r="727" spans="1:4">
      <c r="A727" s="129" t="s">
        <v>1375</v>
      </c>
      <c r="B727" s="129"/>
      <c r="C727" s="129" t="s">
        <v>109</v>
      </c>
      <c r="D727" s="129" t="s">
        <v>110</v>
      </c>
    </row>
    <row r="728" spans="1:4">
      <c r="A728" s="129" t="s">
        <v>972</v>
      </c>
      <c r="B728" s="129"/>
      <c r="C728" s="129" t="s">
        <v>109</v>
      </c>
      <c r="D728" s="129" t="s">
        <v>110</v>
      </c>
    </row>
    <row r="729" spans="1:4">
      <c r="A729" s="129" t="s">
        <v>1376</v>
      </c>
      <c r="B729" s="129"/>
      <c r="C729" s="129" t="s">
        <v>109</v>
      </c>
      <c r="D729" s="129" t="s">
        <v>110</v>
      </c>
    </row>
    <row r="730" spans="1:4">
      <c r="A730" s="129" t="s">
        <v>1377</v>
      </c>
      <c r="B730" s="129"/>
      <c r="C730" s="129" t="s">
        <v>109</v>
      </c>
      <c r="D730" s="129" t="s">
        <v>110</v>
      </c>
    </row>
    <row r="731" spans="1:4">
      <c r="A731" s="129" t="s">
        <v>1378</v>
      </c>
      <c r="B731" s="129"/>
      <c r="C731" s="129" t="s">
        <v>109</v>
      </c>
      <c r="D731" s="129" t="s">
        <v>110</v>
      </c>
    </row>
    <row r="732" spans="1:4">
      <c r="A732" s="129" t="s">
        <v>1379</v>
      </c>
      <c r="B732" s="129"/>
      <c r="C732" s="129" t="s">
        <v>109</v>
      </c>
      <c r="D732" s="129" t="s">
        <v>110</v>
      </c>
    </row>
    <row r="733" spans="1:4">
      <c r="A733" s="129" t="s">
        <v>1380</v>
      </c>
      <c r="B733" s="129"/>
      <c r="C733" s="129" t="s">
        <v>109</v>
      </c>
      <c r="D733" s="129" t="s">
        <v>110</v>
      </c>
    </row>
    <row r="734" spans="1:4">
      <c r="A734" s="129" t="s">
        <v>1381</v>
      </c>
      <c r="B734" s="129"/>
      <c r="C734" s="129" t="s">
        <v>109</v>
      </c>
      <c r="D734" s="129" t="s">
        <v>110</v>
      </c>
    </row>
    <row r="735" spans="1:4">
      <c r="A735" s="129" t="s">
        <v>1382</v>
      </c>
      <c r="B735" s="129"/>
      <c r="C735" s="129" t="s">
        <v>109</v>
      </c>
      <c r="D735" s="129" t="s">
        <v>110</v>
      </c>
    </row>
    <row r="736" spans="1:4">
      <c r="A736" s="129" t="s">
        <v>1383</v>
      </c>
      <c r="B736" s="129"/>
      <c r="C736" s="129" t="s">
        <v>109</v>
      </c>
      <c r="D736" s="129" t="s">
        <v>110</v>
      </c>
    </row>
    <row r="737" spans="1:4">
      <c r="A737" s="129" t="s">
        <v>1384</v>
      </c>
      <c r="B737" s="129"/>
      <c r="C737" s="129" t="s">
        <v>109</v>
      </c>
      <c r="D737" s="129" t="s">
        <v>110</v>
      </c>
    </row>
    <row r="738" spans="1:4">
      <c r="A738" s="129" t="s">
        <v>1385</v>
      </c>
      <c r="B738" s="129"/>
      <c r="C738" s="129" t="s">
        <v>109</v>
      </c>
      <c r="D738" s="129" t="s">
        <v>110</v>
      </c>
    </row>
    <row r="739" spans="1:4">
      <c r="A739" s="129" t="s">
        <v>1386</v>
      </c>
      <c r="B739" s="129"/>
      <c r="C739" s="129" t="s">
        <v>109</v>
      </c>
      <c r="D739" s="129" t="s">
        <v>110</v>
      </c>
    </row>
    <row r="740" spans="1:4">
      <c r="A740" s="129" t="s">
        <v>1387</v>
      </c>
      <c r="B740" s="129"/>
      <c r="C740" s="129" t="s">
        <v>109</v>
      </c>
      <c r="D740" s="129" t="s">
        <v>110</v>
      </c>
    </row>
    <row r="741" spans="1:4">
      <c r="A741" s="129" t="s">
        <v>1388</v>
      </c>
      <c r="B741" s="129"/>
      <c r="C741" s="129" t="s">
        <v>109</v>
      </c>
      <c r="D741" s="129" t="s">
        <v>110</v>
      </c>
    </row>
    <row r="742" spans="1:4">
      <c r="A742" s="129" t="s">
        <v>1389</v>
      </c>
      <c r="B742" s="129"/>
      <c r="C742" s="129" t="s">
        <v>109</v>
      </c>
      <c r="D742" s="129" t="s">
        <v>110</v>
      </c>
    </row>
    <row r="743" spans="1:4">
      <c r="A743" s="129" t="s">
        <v>1390</v>
      </c>
      <c r="B743" s="129"/>
      <c r="C743" s="129" t="s">
        <v>109</v>
      </c>
      <c r="D743" s="129" t="s">
        <v>110</v>
      </c>
    </row>
    <row r="744" spans="1:4">
      <c r="A744" s="129" t="s">
        <v>1391</v>
      </c>
      <c r="B744" s="129"/>
      <c r="C744" s="129" t="s">
        <v>109</v>
      </c>
      <c r="D744" s="129" t="s">
        <v>110</v>
      </c>
    </row>
    <row r="745" spans="1:4">
      <c r="A745" s="129" t="s">
        <v>1392</v>
      </c>
      <c r="B745" s="129"/>
      <c r="C745" s="129" t="s">
        <v>109</v>
      </c>
      <c r="D745" s="129" t="s">
        <v>110</v>
      </c>
    </row>
    <row r="746" spans="1:4">
      <c r="A746" s="129" t="s">
        <v>1393</v>
      </c>
      <c r="B746" s="129"/>
      <c r="C746" s="129" t="s">
        <v>109</v>
      </c>
      <c r="D746" s="129" t="s">
        <v>110</v>
      </c>
    </row>
    <row r="747" spans="1:4">
      <c r="A747" s="129" t="s">
        <v>1394</v>
      </c>
      <c r="B747" s="129"/>
      <c r="C747" s="129" t="s">
        <v>109</v>
      </c>
      <c r="D747" s="129" t="s">
        <v>110</v>
      </c>
    </row>
    <row r="748" spans="1:4">
      <c r="A748" s="129" t="s">
        <v>1395</v>
      </c>
      <c r="B748" s="129"/>
      <c r="C748" s="129" t="s">
        <v>109</v>
      </c>
      <c r="D748" s="129" t="s">
        <v>110</v>
      </c>
    </row>
    <row r="749" spans="1:4">
      <c r="A749" s="129" t="s">
        <v>1396</v>
      </c>
      <c r="B749" s="129"/>
      <c r="C749" s="129" t="s">
        <v>109</v>
      </c>
      <c r="D749" s="129" t="s">
        <v>110</v>
      </c>
    </row>
    <row r="750" spans="1:4">
      <c r="A750" s="129" t="s">
        <v>1397</v>
      </c>
      <c r="B750" s="129"/>
      <c r="C750" s="129" t="s">
        <v>109</v>
      </c>
      <c r="D750" s="129" t="s">
        <v>110</v>
      </c>
    </row>
    <row r="751" spans="1:4">
      <c r="A751" s="129" t="s">
        <v>1398</v>
      </c>
      <c r="B751" s="129"/>
      <c r="C751" s="129" t="s">
        <v>109</v>
      </c>
      <c r="D751" s="129" t="s">
        <v>110</v>
      </c>
    </row>
    <row r="752" spans="1:4">
      <c r="A752" s="129" t="s">
        <v>1399</v>
      </c>
      <c r="B752" s="129"/>
      <c r="C752" s="129" t="s">
        <v>109</v>
      </c>
      <c r="D752" s="129" t="s">
        <v>110</v>
      </c>
    </row>
    <row r="753" spans="1:4">
      <c r="A753" s="129" t="s">
        <v>1400</v>
      </c>
      <c r="B753" s="129"/>
      <c r="C753" s="129" t="s">
        <v>109</v>
      </c>
      <c r="D753" s="129" t="s">
        <v>110</v>
      </c>
    </row>
    <row r="754" spans="1:4">
      <c r="A754" s="129" t="s">
        <v>1401</v>
      </c>
      <c r="B754" s="129"/>
      <c r="C754" s="129" t="s">
        <v>109</v>
      </c>
      <c r="D754" s="129" t="s">
        <v>110</v>
      </c>
    </row>
    <row r="755" spans="1:4">
      <c r="A755" s="129" t="s">
        <v>1402</v>
      </c>
      <c r="B755" s="129"/>
      <c r="C755" s="129" t="s">
        <v>109</v>
      </c>
      <c r="D755" s="129" t="s">
        <v>110</v>
      </c>
    </row>
    <row r="756" spans="1:4">
      <c r="A756" s="129" t="s">
        <v>1403</v>
      </c>
      <c r="B756" s="129"/>
      <c r="C756" s="129" t="s">
        <v>109</v>
      </c>
      <c r="D756" s="129" t="s">
        <v>110</v>
      </c>
    </row>
    <row r="757" spans="1:4">
      <c r="A757" s="129" t="s">
        <v>1404</v>
      </c>
      <c r="B757" s="129"/>
      <c r="C757" s="129" t="s">
        <v>109</v>
      </c>
      <c r="D757" s="129" t="s">
        <v>110</v>
      </c>
    </row>
    <row r="758" spans="1:4">
      <c r="A758" s="129" t="s">
        <v>1405</v>
      </c>
      <c r="B758" s="129"/>
      <c r="C758" s="129" t="s">
        <v>109</v>
      </c>
      <c r="D758" s="129" t="s">
        <v>110</v>
      </c>
    </row>
    <row r="759" spans="1:4">
      <c r="A759" s="129" t="s">
        <v>1406</v>
      </c>
      <c r="B759" s="129"/>
      <c r="C759" s="129" t="s">
        <v>109</v>
      </c>
      <c r="D759" s="129" t="s">
        <v>110</v>
      </c>
    </row>
    <row r="760" spans="1:4">
      <c r="A760" s="129" t="s">
        <v>1407</v>
      </c>
      <c r="B760" s="129"/>
      <c r="C760" s="129" t="s">
        <v>109</v>
      </c>
      <c r="D760" s="129" t="s">
        <v>110</v>
      </c>
    </row>
    <row r="761" spans="1:4">
      <c r="A761" s="129" t="s">
        <v>1408</v>
      </c>
      <c r="B761" s="129"/>
      <c r="C761" s="129" t="s">
        <v>109</v>
      </c>
      <c r="D761" s="129" t="s">
        <v>110</v>
      </c>
    </row>
    <row r="762" spans="1:4">
      <c r="A762" s="129" t="s">
        <v>1409</v>
      </c>
      <c r="B762" s="129"/>
      <c r="C762" s="129" t="s">
        <v>109</v>
      </c>
      <c r="D762" s="129" t="s">
        <v>110</v>
      </c>
    </row>
    <row r="763" spans="1:4">
      <c r="A763" s="129" t="s">
        <v>1410</v>
      </c>
      <c r="B763" s="129"/>
      <c r="C763" s="129" t="s">
        <v>109</v>
      </c>
      <c r="D763" s="129" t="s">
        <v>110</v>
      </c>
    </row>
    <row r="764" spans="1:4">
      <c r="A764" s="129" t="s">
        <v>1411</v>
      </c>
      <c r="B764" s="129"/>
      <c r="C764" s="129" t="s">
        <v>109</v>
      </c>
      <c r="D764" s="129" t="s">
        <v>110</v>
      </c>
    </row>
    <row r="765" spans="1:4">
      <c r="A765" s="129" t="s">
        <v>1412</v>
      </c>
      <c r="B765" s="129"/>
      <c r="C765" s="129" t="s">
        <v>109</v>
      </c>
      <c r="D765" s="129" t="s">
        <v>110</v>
      </c>
    </row>
    <row r="766" spans="1:4">
      <c r="A766" s="129" t="s">
        <v>1413</v>
      </c>
      <c r="B766" s="129"/>
      <c r="C766" s="129" t="s">
        <v>109</v>
      </c>
      <c r="D766" s="129" t="s">
        <v>110</v>
      </c>
    </row>
    <row r="767" spans="1:4">
      <c r="A767" s="129" t="s">
        <v>1414</v>
      </c>
      <c r="B767" s="129"/>
      <c r="C767" s="129" t="s">
        <v>109</v>
      </c>
      <c r="D767" s="129" t="s">
        <v>110</v>
      </c>
    </row>
    <row r="768" spans="1:4">
      <c r="A768" s="129" t="s">
        <v>1415</v>
      </c>
      <c r="B768" s="129"/>
      <c r="C768" s="129" t="s">
        <v>109</v>
      </c>
      <c r="D768" s="129" t="s">
        <v>110</v>
      </c>
    </row>
    <row r="769" spans="1:4">
      <c r="A769" s="129" t="s">
        <v>1416</v>
      </c>
      <c r="B769" s="129"/>
      <c r="C769" s="129" t="s">
        <v>109</v>
      </c>
      <c r="D769" s="129" t="s">
        <v>110</v>
      </c>
    </row>
    <row r="770" spans="1:4">
      <c r="A770" s="129" t="s">
        <v>1417</v>
      </c>
      <c r="B770" s="129"/>
      <c r="C770" s="129" t="s">
        <v>109</v>
      </c>
      <c r="D770" s="129" t="s">
        <v>110</v>
      </c>
    </row>
    <row r="771" spans="1:4">
      <c r="A771" s="129" t="s">
        <v>1418</v>
      </c>
      <c r="B771" s="129"/>
      <c r="C771" s="129" t="s">
        <v>109</v>
      </c>
      <c r="D771" s="129" t="s">
        <v>110</v>
      </c>
    </row>
    <row r="772" spans="1:4">
      <c r="A772" s="129" t="s">
        <v>1419</v>
      </c>
      <c r="B772" s="129"/>
      <c r="C772" s="129" t="s">
        <v>109</v>
      </c>
      <c r="D772" s="129" t="s">
        <v>110</v>
      </c>
    </row>
    <row r="773" spans="1:4">
      <c r="A773" s="129" t="s">
        <v>1420</v>
      </c>
      <c r="B773" s="129"/>
      <c r="C773" s="129" t="s">
        <v>109</v>
      </c>
      <c r="D773" s="129" t="s">
        <v>110</v>
      </c>
    </row>
    <row r="774" spans="1:4">
      <c r="A774" s="129" t="s">
        <v>1421</v>
      </c>
      <c r="B774" s="129"/>
      <c r="C774" s="129" t="s">
        <v>109</v>
      </c>
      <c r="D774" s="129" t="s">
        <v>110</v>
      </c>
    </row>
    <row r="775" spans="1:4">
      <c r="A775" s="129" t="s">
        <v>1422</v>
      </c>
      <c r="B775" s="129"/>
      <c r="C775" s="129" t="s">
        <v>109</v>
      </c>
      <c r="D775" s="129" t="s">
        <v>110</v>
      </c>
    </row>
    <row r="776" spans="1:4">
      <c r="A776" s="129" t="s">
        <v>1423</v>
      </c>
      <c r="B776" s="129"/>
      <c r="C776" s="129" t="s">
        <v>109</v>
      </c>
      <c r="D776" s="129" t="s">
        <v>110</v>
      </c>
    </row>
    <row r="777" spans="1:4">
      <c r="A777" s="129" t="s">
        <v>1424</v>
      </c>
      <c r="B777" s="129"/>
      <c r="C777" s="129" t="s">
        <v>109</v>
      </c>
      <c r="D777" s="129" t="s">
        <v>110</v>
      </c>
    </row>
    <row r="778" spans="1:4">
      <c r="A778" s="129" t="s">
        <v>1425</v>
      </c>
      <c r="B778" s="129"/>
      <c r="C778" s="129" t="s">
        <v>109</v>
      </c>
      <c r="D778" s="129" t="s">
        <v>110</v>
      </c>
    </row>
    <row r="779" spans="1:4">
      <c r="A779" s="129" t="s">
        <v>1426</v>
      </c>
      <c r="B779" s="129"/>
      <c r="C779" s="129" t="s">
        <v>109</v>
      </c>
      <c r="D779" s="129" t="s">
        <v>110</v>
      </c>
    </row>
    <row r="780" spans="1:4">
      <c r="A780" s="129" t="s">
        <v>1427</v>
      </c>
      <c r="B780" s="129"/>
      <c r="C780" s="129" t="s">
        <v>109</v>
      </c>
      <c r="D780" s="129" t="s">
        <v>110</v>
      </c>
    </row>
    <row r="781" spans="1:4">
      <c r="A781" s="129" t="s">
        <v>1428</v>
      </c>
      <c r="B781" s="129"/>
      <c r="C781" s="129" t="s">
        <v>109</v>
      </c>
      <c r="D781" s="129" t="s">
        <v>110</v>
      </c>
    </row>
    <row r="782" spans="1:4">
      <c r="A782" s="129" t="s">
        <v>1429</v>
      </c>
      <c r="B782" s="129"/>
      <c r="C782" s="129" t="s">
        <v>109</v>
      </c>
      <c r="D782" s="129" t="s">
        <v>110</v>
      </c>
    </row>
    <row r="783" spans="1:4">
      <c r="A783" s="129" t="s">
        <v>1430</v>
      </c>
      <c r="B783" s="129"/>
      <c r="C783" s="129" t="s">
        <v>109</v>
      </c>
      <c r="D783" s="129" t="s">
        <v>110</v>
      </c>
    </row>
    <row r="784" spans="1:4">
      <c r="A784" s="129" t="s">
        <v>1431</v>
      </c>
      <c r="B784" s="129"/>
      <c r="C784" s="129" t="s">
        <v>109</v>
      </c>
      <c r="D784" s="129" t="s">
        <v>110</v>
      </c>
    </row>
    <row r="785" spans="1:4">
      <c r="A785" s="129" t="s">
        <v>1432</v>
      </c>
      <c r="B785" s="129"/>
      <c r="C785" s="129" t="s">
        <v>109</v>
      </c>
      <c r="D785" s="129" t="s">
        <v>110</v>
      </c>
    </row>
    <row r="786" spans="1:4">
      <c r="A786" s="129" t="s">
        <v>1433</v>
      </c>
      <c r="B786" s="129"/>
      <c r="C786" s="129" t="s">
        <v>109</v>
      </c>
      <c r="D786" s="129" t="s">
        <v>110</v>
      </c>
    </row>
    <row r="787" spans="1:4">
      <c r="A787" s="129" t="s">
        <v>1434</v>
      </c>
      <c r="B787" s="129"/>
      <c r="C787" s="129" t="s">
        <v>109</v>
      </c>
      <c r="D787" s="129" t="s">
        <v>110</v>
      </c>
    </row>
    <row r="788" spans="1:4">
      <c r="A788" s="129" t="s">
        <v>1435</v>
      </c>
      <c r="B788" s="129"/>
      <c r="C788" s="129" t="s">
        <v>109</v>
      </c>
      <c r="D788" s="129" t="s">
        <v>110</v>
      </c>
    </row>
    <row r="789" spans="1:4">
      <c r="A789" s="129" t="s">
        <v>1436</v>
      </c>
      <c r="B789" s="129"/>
      <c r="C789" s="129" t="s">
        <v>109</v>
      </c>
      <c r="D789" s="129" t="s">
        <v>110</v>
      </c>
    </row>
    <row r="790" spans="1:4">
      <c r="A790" s="129" t="s">
        <v>1437</v>
      </c>
      <c r="B790" s="129"/>
      <c r="C790" s="129" t="s">
        <v>109</v>
      </c>
      <c r="D790" s="129" t="s">
        <v>110</v>
      </c>
    </row>
    <row r="791" spans="1:4">
      <c r="A791" s="129" t="s">
        <v>1438</v>
      </c>
      <c r="B791" s="129"/>
      <c r="C791" s="129" t="s">
        <v>109</v>
      </c>
      <c r="D791" s="129" t="s">
        <v>110</v>
      </c>
    </row>
    <row r="792" spans="1:4">
      <c r="A792" s="129" t="s">
        <v>1439</v>
      </c>
      <c r="B792" s="129"/>
      <c r="C792" s="129" t="s">
        <v>109</v>
      </c>
      <c r="D792" s="129" t="s">
        <v>110</v>
      </c>
    </row>
    <row r="793" spans="1:4">
      <c r="A793" s="129" t="s">
        <v>1440</v>
      </c>
      <c r="B793" s="129"/>
      <c r="C793" s="129" t="s">
        <v>109</v>
      </c>
      <c r="D793" s="129" t="s">
        <v>110</v>
      </c>
    </row>
    <row r="794" spans="1:4">
      <c r="A794" s="129" t="s">
        <v>1441</v>
      </c>
      <c r="B794" s="129"/>
      <c r="C794" s="129" t="s">
        <v>109</v>
      </c>
      <c r="D794" s="129" t="s">
        <v>110</v>
      </c>
    </row>
    <row r="795" spans="1:4">
      <c r="A795" s="129" t="s">
        <v>1442</v>
      </c>
      <c r="B795" s="129"/>
      <c r="C795" s="129" t="s">
        <v>109</v>
      </c>
      <c r="D795" s="129" t="s">
        <v>110</v>
      </c>
    </row>
    <row r="796" spans="1:4">
      <c r="A796" s="129" t="s">
        <v>1443</v>
      </c>
      <c r="B796" s="129"/>
      <c r="C796" s="129" t="s">
        <v>109</v>
      </c>
      <c r="D796" s="129" t="s">
        <v>110</v>
      </c>
    </row>
    <row r="797" spans="1:4">
      <c r="A797" s="129" t="s">
        <v>1444</v>
      </c>
      <c r="B797" s="129"/>
      <c r="C797" s="129" t="s">
        <v>109</v>
      </c>
      <c r="D797" s="129" t="s">
        <v>110</v>
      </c>
    </row>
    <row r="798" spans="1:4">
      <c r="A798" s="129" t="s">
        <v>1445</v>
      </c>
      <c r="B798" s="129"/>
      <c r="C798" s="129" t="s">
        <v>109</v>
      </c>
      <c r="D798" s="129" t="s">
        <v>110</v>
      </c>
    </row>
    <row r="799" spans="1:4">
      <c r="A799" s="129" t="s">
        <v>1446</v>
      </c>
      <c r="B799" s="129"/>
      <c r="C799" s="129" t="s">
        <v>109</v>
      </c>
      <c r="D799" s="129" t="s">
        <v>110</v>
      </c>
    </row>
    <row r="800" spans="1:4">
      <c r="A800" s="129" t="s">
        <v>706</v>
      </c>
      <c r="B800" s="129"/>
      <c r="C800" s="129" t="s">
        <v>109</v>
      </c>
      <c r="D800" s="129" t="s">
        <v>110</v>
      </c>
    </row>
    <row r="801" spans="1:4">
      <c r="A801" s="129" t="s">
        <v>1447</v>
      </c>
      <c r="B801" s="129"/>
      <c r="C801" s="129" t="s">
        <v>109</v>
      </c>
      <c r="D801" s="129" t="s">
        <v>110</v>
      </c>
    </row>
    <row r="802" spans="1:4">
      <c r="A802" s="129" t="s">
        <v>1448</v>
      </c>
      <c r="B802" s="129"/>
      <c r="C802" s="129" t="s">
        <v>109</v>
      </c>
      <c r="D802" s="129" t="s">
        <v>110</v>
      </c>
    </row>
    <row r="803" spans="1:4">
      <c r="A803" s="129" t="s">
        <v>1449</v>
      </c>
      <c r="B803" s="129"/>
      <c r="C803" s="129" t="s">
        <v>109</v>
      </c>
      <c r="D803" s="129" t="s">
        <v>110</v>
      </c>
    </row>
    <row r="804" spans="1:4">
      <c r="A804" s="129" t="s">
        <v>630</v>
      </c>
      <c r="B804" s="129"/>
      <c r="C804" s="129" t="s">
        <v>85</v>
      </c>
      <c r="D804" s="129" t="s">
        <v>83</v>
      </c>
    </row>
    <row r="805" spans="1:4">
      <c r="A805" s="129" t="s">
        <v>1316</v>
      </c>
      <c r="B805" s="129"/>
      <c r="C805" s="129" t="s">
        <v>85</v>
      </c>
      <c r="D805" s="129" t="s">
        <v>83</v>
      </c>
    </row>
    <row r="806" spans="1:4">
      <c r="A806" s="129" t="s">
        <v>1317</v>
      </c>
      <c r="B806" s="129"/>
      <c r="C806" s="129" t="s">
        <v>85</v>
      </c>
      <c r="D806" s="129" t="s">
        <v>83</v>
      </c>
    </row>
    <row r="807" spans="1:4">
      <c r="A807" s="129" t="s">
        <v>635</v>
      </c>
      <c r="B807" s="129"/>
      <c r="C807" s="129" t="s">
        <v>85</v>
      </c>
      <c r="D807" s="129" t="s">
        <v>83</v>
      </c>
    </row>
    <row r="808" spans="1:4">
      <c r="A808" s="129" t="s">
        <v>690</v>
      </c>
      <c r="B808" s="129"/>
      <c r="C808" s="129" t="s">
        <v>85</v>
      </c>
      <c r="D808" s="129" t="s">
        <v>83</v>
      </c>
    </row>
    <row r="809" spans="1:4">
      <c r="A809" s="129" t="s">
        <v>1318</v>
      </c>
      <c r="B809" s="129"/>
      <c r="C809" s="129" t="s">
        <v>87</v>
      </c>
      <c r="D809" s="129" t="s">
        <v>88</v>
      </c>
    </row>
    <row r="810" spans="1:4">
      <c r="A810" s="129" t="s">
        <v>1319</v>
      </c>
      <c r="B810" s="129"/>
      <c r="C810" s="129" t="s">
        <v>87</v>
      </c>
      <c r="D810" s="129" t="s">
        <v>88</v>
      </c>
    </row>
    <row r="811" spans="1:4">
      <c r="A811" s="129" t="s">
        <v>1320</v>
      </c>
      <c r="B811" s="129"/>
      <c r="C811" s="129" t="s">
        <v>87</v>
      </c>
      <c r="D811" s="129" t="s">
        <v>88</v>
      </c>
    </row>
    <row r="812" spans="1:4">
      <c r="A812" s="129" t="s">
        <v>1321</v>
      </c>
      <c r="B812" s="129"/>
      <c r="C812" s="129" t="s">
        <v>87</v>
      </c>
      <c r="D812" s="129" t="s">
        <v>88</v>
      </c>
    </row>
    <row r="813" spans="1:4">
      <c r="A813" s="129" t="s">
        <v>1322</v>
      </c>
      <c r="B813" s="129"/>
      <c r="C813" s="129" t="s">
        <v>87</v>
      </c>
      <c r="D813" s="129" t="s">
        <v>88</v>
      </c>
    </row>
    <row r="814" spans="1:4">
      <c r="A814" s="129" t="s">
        <v>1323</v>
      </c>
      <c r="B814" s="129"/>
      <c r="C814" s="129" t="s">
        <v>87</v>
      </c>
      <c r="D814" s="129" t="s">
        <v>88</v>
      </c>
    </row>
    <row r="815" spans="1:4">
      <c r="A815" s="129" t="s">
        <v>1324</v>
      </c>
      <c r="B815" s="129"/>
      <c r="C815" s="129" t="s">
        <v>87</v>
      </c>
      <c r="D815" s="129" t="s">
        <v>88</v>
      </c>
    </row>
    <row r="816" spans="1:4">
      <c r="A816" s="129" t="s">
        <v>1325</v>
      </c>
      <c r="B816" s="129"/>
      <c r="C816" s="129" t="s">
        <v>87</v>
      </c>
      <c r="D816" s="129" t="s">
        <v>88</v>
      </c>
    </row>
    <row r="817" spans="1:4">
      <c r="A817" s="129" t="s">
        <v>1326</v>
      </c>
      <c r="B817" s="129"/>
      <c r="C817" s="129" t="s">
        <v>87</v>
      </c>
      <c r="D817" s="129" t="s">
        <v>88</v>
      </c>
    </row>
    <row r="818" spans="1:4">
      <c r="A818" s="129" t="s">
        <v>1327</v>
      </c>
      <c r="B818" s="129"/>
      <c r="C818" s="129" t="s">
        <v>87</v>
      </c>
      <c r="D818" s="129" t="s">
        <v>88</v>
      </c>
    </row>
    <row r="819" spans="1:4">
      <c r="A819" s="129" t="s">
        <v>1328</v>
      </c>
      <c r="B819" s="129"/>
      <c r="C819" s="129" t="s">
        <v>87</v>
      </c>
      <c r="D819" s="129" t="s">
        <v>88</v>
      </c>
    </row>
    <row r="820" spans="1:4">
      <c r="A820" s="129" t="s">
        <v>1329</v>
      </c>
      <c r="B820" s="129"/>
      <c r="C820" s="129" t="s">
        <v>87</v>
      </c>
      <c r="D820" s="129" t="s">
        <v>88</v>
      </c>
    </row>
    <row r="821" spans="1:4">
      <c r="A821" s="129" t="s">
        <v>1330</v>
      </c>
      <c r="B821" s="129"/>
      <c r="C821" s="129" t="s">
        <v>87</v>
      </c>
      <c r="D821" s="129" t="s">
        <v>88</v>
      </c>
    </row>
    <row r="822" spans="1:4">
      <c r="A822" s="129" t="s">
        <v>1331</v>
      </c>
      <c r="B822" s="129"/>
      <c r="C822" s="129" t="s">
        <v>87</v>
      </c>
      <c r="D822" s="129" t="s">
        <v>88</v>
      </c>
    </row>
    <row r="823" spans="1:4">
      <c r="A823" s="129" t="s">
        <v>1332</v>
      </c>
      <c r="B823" s="129"/>
      <c r="C823" s="129" t="s">
        <v>87</v>
      </c>
      <c r="D823" s="129" t="s">
        <v>88</v>
      </c>
    </row>
    <row r="824" spans="1:4">
      <c r="A824" s="129" t="s">
        <v>1333</v>
      </c>
      <c r="B824" s="129"/>
      <c r="C824" s="129" t="s">
        <v>87</v>
      </c>
      <c r="D824" s="129" t="s">
        <v>88</v>
      </c>
    </row>
    <row r="825" spans="1:4">
      <c r="A825" s="129" t="s">
        <v>1334</v>
      </c>
      <c r="B825" s="129"/>
      <c r="C825" s="129" t="s">
        <v>87</v>
      </c>
      <c r="D825" s="129" t="s">
        <v>88</v>
      </c>
    </row>
    <row r="826" spans="1:4">
      <c r="A826" s="129" t="s">
        <v>1335</v>
      </c>
      <c r="B826" s="129"/>
      <c r="C826" s="129" t="s">
        <v>87</v>
      </c>
      <c r="D826" s="129" t="s">
        <v>88</v>
      </c>
    </row>
    <row r="827" spans="1:4">
      <c r="A827" s="129" t="s">
        <v>1336</v>
      </c>
      <c r="B827" s="129"/>
      <c r="C827" s="129" t="s">
        <v>87</v>
      </c>
      <c r="D827" s="129" t="s">
        <v>88</v>
      </c>
    </row>
    <row r="828" spans="1:4">
      <c r="A828" s="129" t="s">
        <v>1337</v>
      </c>
      <c r="B828" s="129"/>
      <c r="C828" s="129" t="s">
        <v>87</v>
      </c>
      <c r="D828" s="129" t="s">
        <v>88</v>
      </c>
    </row>
    <row r="829" spans="1:4">
      <c r="A829" s="129" t="s">
        <v>1338</v>
      </c>
      <c r="B829" s="129"/>
      <c r="C829" s="129" t="s">
        <v>92</v>
      </c>
      <c r="D829" s="129" t="s">
        <v>93</v>
      </c>
    </row>
    <row r="830" spans="1:4">
      <c r="A830" s="129" t="s">
        <v>1339</v>
      </c>
      <c r="B830" s="129"/>
      <c r="C830" s="129" t="s">
        <v>92</v>
      </c>
      <c r="D830" s="129" t="s">
        <v>93</v>
      </c>
    </row>
    <row r="831" spans="1:4">
      <c r="A831" s="129" t="s">
        <v>1340</v>
      </c>
      <c r="B831" s="129"/>
      <c r="C831" s="129" t="s">
        <v>92</v>
      </c>
      <c r="D831" s="129" t="s">
        <v>93</v>
      </c>
    </row>
    <row r="832" spans="1:4">
      <c r="A832" s="129" t="s">
        <v>1341</v>
      </c>
      <c r="B832" s="129"/>
      <c r="C832" s="129" t="s">
        <v>92</v>
      </c>
      <c r="D832" s="129" t="s">
        <v>93</v>
      </c>
    </row>
    <row r="833" spans="1:4">
      <c r="A833" s="129" t="s">
        <v>1342</v>
      </c>
      <c r="B833" s="129"/>
      <c r="C833" s="129" t="s">
        <v>92</v>
      </c>
      <c r="D833" s="129" t="s">
        <v>93</v>
      </c>
    </row>
    <row r="834" spans="1:4">
      <c r="A834" s="129" t="s">
        <v>1343</v>
      </c>
      <c r="B834" s="129"/>
      <c r="C834" s="129" t="s">
        <v>92</v>
      </c>
      <c r="D834" s="129" t="s">
        <v>93</v>
      </c>
    </row>
    <row r="835" spans="1:4">
      <c r="A835" s="129" t="s">
        <v>1344</v>
      </c>
      <c r="B835" s="129"/>
      <c r="C835" s="129" t="s">
        <v>92</v>
      </c>
      <c r="D835" s="129" t="s">
        <v>93</v>
      </c>
    </row>
    <row r="836" spans="1:4">
      <c r="A836" s="129" t="s">
        <v>1345</v>
      </c>
      <c r="B836" s="129"/>
      <c r="C836" s="129" t="s">
        <v>92</v>
      </c>
      <c r="D836" s="129" t="s">
        <v>93</v>
      </c>
    </row>
    <row r="837" spans="1:4">
      <c r="A837" s="129" t="s">
        <v>1346</v>
      </c>
      <c r="B837" s="129"/>
      <c r="C837" s="129" t="s">
        <v>92</v>
      </c>
      <c r="D837" s="129" t="s">
        <v>93</v>
      </c>
    </row>
    <row r="838" spans="1:4">
      <c r="A838" s="129" t="s">
        <v>1347</v>
      </c>
      <c r="B838" s="129"/>
      <c r="C838" s="129" t="s">
        <v>92</v>
      </c>
      <c r="D838" s="129" t="s">
        <v>93</v>
      </c>
    </row>
    <row r="839" spans="1:4">
      <c r="A839" s="129" t="s">
        <v>1348</v>
      </c>
      <c r="B839" s="129"/>
      <c r="C839" s="129" t="s">
        <v>92</v>
      </c>
      <c r="D839" s="129" t="s">
        <v>93</v>
      </c>
    </row>
    <row r="840" spans="1:4">
      <c r="A840" s="129" t="s">
        <v>1349</v>
      </c>
      <c r="B840" s="129"/>
      <c r="C840" s="129" t="s">
        <v>92</v>
      </c>
      <c r="D840" s="129" t="s">
        <v>93</v>
      </c>
    </row>
    <row r="841" spans="1:4">
      <c r="A841" s="129" t="s">
        <v>1350</v>
      </c>
      <c r="B841" s="129"/>
      <c r="C841" s="129" t="s">
        <v>92</v>
      </c>
      <c r="D841" s="129" t="s">
        <v>93</v>
      </c>
    </row>
    <row r="842" spans="1:4">
      <c r="A842" s="129" t="s">
        <v>1351</v>
      </c>
      <c r="B842" s="129"/>
      <c r="C842" s="129" t="s">
        <v>92</v>
      </c>
      <c r="D842" s="129" t="s">
        <v>93</v>
      </c>
    </row>
    <row r="843" spans="1:4">
      <c r="A843" s="129" t="s">
        <v>1352</v>
      </c>
      <c r="B843" s="129"/>
      <c r="C843" s="129" t="s">
        <v>92</v>
      </c>
      <c r="D843" s="129" t="s">
        <v>93</v>
      </c>
    </row>
    <row r="844" spans="1:4">
      <c r="A844" s="129" t="s">
        <v>1337</v>
      </c>
      <c r="B844" s="129"/>
      <c r="C844" s="129" t="s">
        <v>92</v>
      </c>
      <c r="D844" s="129" t="s">
        <v>93</v>
      </c>
    </row>
    <row r="845" spans="1:4">
      <c r="A845" s="129" t="s">
        <v>1450</v>
      </c>
      <c r="B845" s="129"/>
      <c r="C845" s="129" t="s">
        <v>113</v>
      </c>
      <c r="D845" s="129" t="s">
        <v>114</v>
      </c>
    </row>
    <row r="846" spans="1:4">
      <c r="A846" s="129" t="s">
        <v>1451</v>
      </c>
      <c r="B846" s="129"/>
      <c r="C846" s="129" t="s">
        <v>113</v>
      </c>
      <c r="D846" s="129" t="s">
        <v>114</v>
      </c>
    </row>
    <row r="847" spans="1:4">
      <c r="A847" s="129" t="s">
        <v>1452</v>
      </c>
      <c r="B847" s="129"/>
      <c r="C847" s="129" t="s">
        <v>113</v>
      </c>
      <c r="D847" s="129" t="s">
        <v>114</v>
      </c>
    </row>
    <row r="848" spans="1:4">
      <c r="A848" s="129" t="s">
        <v>1453</v>
      </c>
      <c r="B848" s="129"/>
      <c r="C848" s="129" t="s">
        <v>113</v>
      </c>
      <c r="D848" s="129" t="s">
        <v>114</v>
      </c>
    </row>
    <row r="849" spans="1:4">
      <c r="A849" s="129" t="s">
        <v>1602</v>
      </c>
      <c r="B849" s="129"/>
      <c r="C849" s="129" t="s">
        <v>113</v>
      </c>
      <c r="D849" s="129" t="s">
        <v>114</v>
      </c>
    </row>
    <row r="850" spans="1:4">
      <c r="A850" s="129" t="s">
        <v>1506</v>
      </c>
      <c r="B850" s="129"/>
      <c r="C850" s="129" t="s">
        <v>113</v>
      </c>
      <c r="D850" s="129" t="s">
        <v>114</v>
      </c>
    </row>
    <row r="851" spans="1:4">
      <c r="A851" s="129" t="s">
        <v>1507</v>
      </c>
      <c r="B851" s="129"/>
      <c r="C851" s="129" t="s">
        <v>113</v>
      </c>
      <c r="D851" s="129" t="s">
        <v>114</v>
      </c>
    </row>
    <row r="852" spans="1:4">
      <c r="A852" s="129" t="s">
        <v>1508</v>
      </c>
      <c r="B852" s="129"/>
      <c r="C852" s="129" t="s">
        <v>113</v>
      </c>
      <c r="D852" s="129" t="s">
        <v>114</v>
      </c>
    </row>
    <row r="853" spans="1:4">
      <c r="A853" s="129" t="s">
        <v>1545</v>
      </c>
      <c r="B853" s="129"/>
      <c r="C853" s="129" t="s">
        <v>113</v>
      </c>
      <c r="D853" s="129" t="s">
        <v>114</v>
      </c>
    </row>
    <row r="854" spans="1:4">
      <c r="A854" s="129" t="s">
        <v>1546</v>
      </c>
      <c r="B854" s="129"/>
      <c r="C854" s="129" t="s">
        <v>113</v>
      </c>
      <c r="D854" s="129" t="s">
        <v>114</v>
      </c>
    </row>
    <row r="855" spans="1:4">
      <c r="A855" s="129" t="s">
        <v>1454</v>
      </c>
      <c r="B855" s="129"/>
      <c r="C855" s="129" t="s">
        <v>113</v>
      </c>
      <c r="D855" s="129" t="s">
        <v>114</v>
      </c>
    </row>
    <row r="856" spans="1:4">
      <c r="A856" s="129" t="s">
        <v>1579</v>
      </c>
      <c r="B856" s="129"/>
      <c r="C856" s="129" t="s">
        <v>113</v>
      </c>
      <c r="D856" s="129" t="s">
        <v>114</v>
      </c>
    </row>
    <row r="857" spans="1:4">
      <c r="A857" s="129" t="s">
        <v>1509</v>
      </c>
      <c r="B857" s="129"/>
      <c r="C857" s="129" t="s">
        <v>113</v>
      </c>
      <c r="D857" s="129" t="s">
        <v>114</v>
      </c>
    </row>
    <row r="858" spans="1:4">
      <c r="A858" s="129" t="s">
        <v>1455</v>
      </c>
      <c r="B858" s="129"/>
      <c r="C858" s="129" t="s">
        <v>113</v>
      </c>
      <c r="D858" s="129" t="s">
        <v>114</v>
      </c>
    </row>
    <row r="859" spans="1:4">
      <c r="A859" s="129" t="s">
        <v>1588</v>
      </c>
      <c r="B859" s="129"/>
      <c r="C859" s="129" t="s">
        <v>113</v>
      </c>
      <c r="D859" s="129" t="s">
        <v>114</v>
      </c>
    </row>
    <row r="860" spans="1:4">
      <c r="A860" s="129" t="s">
        <v>1580</v>
      </c>
      <c r="B860" s="129"/>
      <c r="C860" s="129" t="s">
        <v>113</v>
      </c>
      <c r="D860" s="129" t="s">
        <v>114</v>
      </c>
    </row>
    <row r="861" spans="1:4">
      <c r="A861" s="129" t="s">
        <v>1456</v>
      </c>
      <c r="B861" s="129"/>
      <c r="C861" s="129" t="s">
        <v>113</v>
      </c>
      <c r="D861" s="129" t="s">
        <v>114</v>
      </c>
    </row>
    <row r="862" spans="1:4">
      <c r="A862" s="129" t="s">
        <v>1457</v>
      </c>
      <c r="B862" s="129"/>
      <c r="C862" s="129" t="s">
        <v>113</v>
      </c>
      <c r="D862" s="129" t="s">
        <v>114</v>
      </c>
    </row>
    <row r="863" spans="1:4">
      <c r="A863" s="129" t="s">
        <v>1510</v>
      </c>
      <c r="B863" s="129"/>
      <c r="C863" s="129" t="s">
        <v>113</v>
      </c>
      <c r="D863" s="129" t="s">
        <v>114</v>
      </c>
    </row>
    <row r="864" spans="1:4">
      <c r="A864" s="129" t="s">
        <v>1511</v>
      </c>
      <c r="B864" s="129"/>
      <c r="C864" s="129" t="s">
        <v>113</v>
      </c>
      <c r="D864" s="129" t="s">
        <v>114</v>
      </c>
    </row>
    <row r="865" spans="1:4">
      <c r="A865" s="129" t="s">
        <v>1512</v>
      </c>
      <c r="B865" s="129"/>
      <c r="C865" s="129" t="s">
        <v>113</v>
      </c>
      <c r="D865" s="129" t="s">
        <v>114</v>
      </c>
    </row>
    <row r="866" spans="1:4">
      <c r="A866" s="129" t="s">
        <v>1458</v>
      </c>
      <c r="B866" s="129"/>
      <c r="C866" s="129" t="s">
        <v>113</v>
      </c>
      <c r="D866" s="129" t="s">
        <v>114</v>
      </c>
    </row>
    <row r="867" spans="1:4">
      <c r="A867" s="129" t="s">
        <v>1589</v>
      </c>
      <c r="B867" s="129"/>
      <c r="C867" s="129" t="s">
        <v>113</v>
      </c>
      <c r="D867" s="129" t="s">
        <v>114</v>
      </c>
    </row>
    <row r="868" spans="1:4">
      <c r="A868" s="129" t="s">
        <v>1547</v>
      </c>
      <c r="B868" s="129"/>
      <c r="C868" s="129" t="s">
        <v>113</v>
      </c>
      <c r="D868" s="129" t="s">
        <v>114</v>
      </c>
    </row>
    <row r="869" spans="1:4">
      <c r="A869" s="129" t="s">
        <v>1581</v>
      </c>
      <c r="B869" s="129"/>
      <c r="C869" s="129" t="s">
        <v>113</v>
      </c>
      <c r="D869" s="129" t="s">
        <v>114</v>
      </c>
    </row>
    <row r="870" spans="1:4">
      <c r="A870" s="129" t="s">
        <v>1590</v>
      </c>
      <c r="B870" s="129"/>
      <c r="C870" s="129" t="s">
        <v>113</v>
      </c>
      <c r="D870" s="129" t="s">
        <v>114</v>
      </c>
    </row>
    <row r="871" spans="1:4">
      <c r="A871" s="129" t="s">
        <v>1591</v>
      </c>
      <c r="B871" s="129"/>
      <c r="C871" s="129" t="s">
        <v>113</v>
      </c>
      <c r="D871" s="129" t="s">
        <v>114</v>
      </c>
    </row>
    <row r="872" spans="1:4">
      <c r="A872" s="129" t="s">
        <v>1592</v>
      </c>
      <c r="B872" s="129"/>
      <c r="C872" s="129" t="s">
        <v>113</v>
      </c>
      <c r="D872" s="129" t="s">
        <v>114</v>
      </c>
    </row>
    <row r="873" spans="1:4">
      <c r="A873" s="129" t="s">
        <v>1548</v>
      </c>
      <c r="B873" s="129"/>
      <c r="C873" s="129" t="s">
        <v>113</v>
      </c>
      <c r="D873" s="129" t="s">
        <v>114</v>
      </c>
    </row>
    <row r="874" spans="1:4">
      <c r="A874" s="129" t="s">
        <v>1355</v>
      </c>
      <c r="B874" s="129"/>
      <c r="C874" s="129" t="s">
        <v>113</v>
      </c>
      <c r="D874" s="129" t="s">
        <v>114</v>
      </c>
    </row>
    <row r="875" spans="1:4">
      <c r="A875" s="129" t="s">
        <v>1582</v>
      </c>
      <c r="B875" s="129"/>
      <c r="C875" s="129" t="s">
        <v>113</v>
      </c>
      <c r="D875" s="129" t="s">
        <v>114</v>
      </c>
    </row>
    <row r="876" spans="1:4">
      <c r="A876" s="129" t="s">
        <v>1549</v>
      </c>
      <c r="B876" s="129"/>
      <c r="C876" s="129" t="s">
        <v>113</v>
      </c>
      <c r="D876" s="129" t="s">
        <v>114</v>
      </c>
    </row>
    <row r="877" spans="1:4">
      <c r="A877" s="129" t="s">
        <v>1459</v>
      </c>
      <c r="B877" s="129"/>
      <c r="C877" s="129" t="s">
        <v>113</v>
      </c>
      <c r="D877" s="129" t="s">
        <v>114</v>
      </c>
    </row>
    <row r="878" spans="1:4">
      <c r="A878" s="129" t="s">
        <v>1603</v>
      </c>
      <c r="B878" s="129"/>
      <c r="C878" s="129" t="s">
        <v>113</v>
      </c>
      <c r="D878" s="129" t="s">
        <v>114</v>
      </c>
    </row>
    <row r="879" spans="1:4">
      <c r="A879" s="129" t="s">
        <v>1513</v>
      </c>
      <c r="B879" s="129"/>
      <c r="C879" s="129" t="s">
        <v>113</v>
      </c>
      <c r="D879" s="129" t="s">
        <v>114</v>
      </c>
    </row>
    <row r="880" spans="1:4">
      <c r="A880" s="129" t="s">
        <v>1593</v>
      </c>
      <c r="B880" s="129"/>
      <c r="C880" s="129" t="s">
        <v>113</v>
      </c>
      <c r="D880" s="129" t="s">
        <v>114</v>
      </c>
    </row>
    <row r="881" spans="1:4">
      <c r="A881" s="129" t="s">
        <v>1460</v>
      </c>
      <c r="B881" s="129"/>
      <c r="C881" s="129" t="s">
        <v>113</v>
      </c>
      <c r="D881" s="129" t="s">
        <v>114</v>
      </c>
    </row>
    <row r="882" spans="1:4">
      <c r="A882" s="129" t="s">
        <v>1583</v>
      </c>
      <c r="B882" s="129"/>
      <c r="C882" s="129" t="s">
        <v>113</v>
      </c>
      <c r="D882" s="129" t="s">
        <v>114</v>
      </c>
    </row>
    <row r="883" spans="1:4">
      <c r="A883" s="129" t="s">
        <v>1461</v>
      </c>
      <c r="B883" s="129"/>
      <c r="C883" s="129" t="s">
        <v>113</v>
      </c>
      <c r="D883" s="129" t="s">
        <v>114</v>
      </c>
    </row>
    <row r="884" spans="1:4">
      <c r="A884" s="129" t="s">
        <v>1462</v>
      </c>
      <c r="B884" s="129"/>
      <c r="C884" s="129" t="s">
        <v>113</v>
      </c>
      <c r="D884" s="129" t="s">
        <v>114</v>
      </c>
    </row>
    <row r="885" spans="1:4">
      <c r="A885" s="129" t="s">
        <v>1594</v>
      </c>
      <c r="B885" s="129"/>
      <c r="C885" s="129" t="s">
        <v>113</v>
      </c>
      <c r="D885" s="129" t="s">
        <v>114</v>
      </c>
    </row>
    <row r="886" spans="1:4">
      <c r="A886" s="129" t="s">
        <v>1463</v>
      </c>
      <c r="B886" s="129"/>
      <c r="C886" s="129" t="s">
        <v>113</v>
      </c>
      <c r="D886" s="129" t="s">
        <v>114</v>
      </c>
    </row>
    <row r="887" spans="1:4">
      <c r="A887" s="129" t="s">
        <v>1464</v>
      </c>
      <c r="B887" s="129"/>
      <c r="C887" s="129" t="s">
        <v>113</v>
      </c>
      <c r="D887" s="129" t="s">
        <v>114</v>
      </c>
    </row>
    <row r="888" spans="1:4">
      <c r="A888" s="129" t="s">
        <v>1465</v>
      </c>
      <c r="B888" s="129"/>
      <c r="C888" s="129" t="s">
        <v>113</v>
      </c>
      <c r="D888" s="129" t="s">
        <v>114</v>
      </c>
    </row>
    <row r="889" spans="1:4">
      <c r="A889" s="129" t="s">
        <v>1466</v>
      </c>
      <c r="B889" s="129"/>
      <c r="C889" s="129" t="s">
        <v>113</v>
      </c>
      <c r="D889" s="129" t="s">
        <v>114</v>
      </c>
    </row>
    <row r="890" spans="1:4">
      <c r="A890" s="129" t="s">
        <v>1550</v>
      </c>
      <c r="B890" s="129"/>
      <c r="C890" s="129" t="s">
        <v>113</v>
      </c>
      <c r="D890" s="129" t="s">
        <v>114</v>
      </c>
    </row>
    <row r="891" spans="1:4">
      <c r="A891" s="129" t="s">
        <v>1467</v>
      </c>
      <c r="B891" s="129"/>
      <c r="C891" s="129" t="s">
        <v>113</v>
      </c>
      <c r="D891" s="129" t="s">
        <v>114</v>
      </c>
    </row>
    <row r="892" spans="1:4">
      <c r="A892" s="129" t="s">
        <v>1514</v>
      </c>
      <c r="B892" s="129"/>
      <c r="C892" s="129" t="s">
        <v>113</v>
      </c>
      <c r="D892" s="129" t="s">
        <v>114</v>
      </c>
    </row>
    <row r="893" spans="1:4">
      <c r="A893" s="129" t="s">
        <v>1515</v>
      </c>
      <c r="B893" s="129"/>
      <c r="C893" s="129" t="s">
        <v>113</v>
      </c>
      <c r="D893" s="129" t="s">
        <v>114</v>
      </c>
    </row>
    <row r="894" spans="1:4">
      <c r="A894" s="129" t="s">
        <v>1516</v>
      </c>
      <c r="B894" s="129"/>
      <c r="C894" s="129" t="s">
        <v>113</v>
      </c>
      <c r="D894" s="129" t="s">
        <v>114</v>
      </c>
    </row>
    <row r="895" spans="1:4">
      <c r="A895" s="129" t="s">
        <v>1468</v>
      </c>
      <c r="B895" s="129"/>
      <c r="C895" s="129" t="s">
        <v>113</v>
      </c>
      <c r="D895" s="129" t="s">
        <v>114</v>
      </c>
    </row>
    <row r="896" spans="1:4">
      <c r="A896" s="129" t="s">
        <v>1551</v>
      </c>
      <c r="B896" s="129"/>
      <c r="C896" s="129" t="s">
        <v>113</v>
      </c>
      <c r="D896" s="129" t="s">
        <v>114</v>
      </c>
    </row>
    <row r="897" spans="1:4">
      <c r="A897" s="129" t="s">
        <v>1356</v>
      </c>
      <c r="B897" s="129"/>
      <c r="C897" s="129" t="s">
        <v>113</v>
      </c>
      <c r="D897" s="129" t="s">
        <v>114</v>
      </c>
    </row>
    <row r="898" spans="1:4">
      <c r="A898" s="129" t="s">
        <v>1552</v>
      </c>
      <c r="B898" s="129"/>
      <c r="C898" s="129" t="s">
        <v>113</v>
      </c>
      <c r="D898" s="129" t="s">
        <v>114</v>
      </c>
    </row>
    <row r="899" spans="1:4">
      <c r="A899" s="129" t="s">
        <v>1595</v>
      </c>
      <c r="B899" s="129"/>
      <c r="C899" s="129" t="s">
        <v>113</v>
      </c>
      <c r="D899" s="129" t="s">
        <v>114</v>
      </c>
    </row>
    <row r="900" spans="1:4">
      <c r="A900" s="129" t="s">
        <v>1469</v>
      </c>
      <c r="B900" s="129"/>
      <c r="C900" s="129" t="s">
        <v>113</v>
      </c>
      <c r="D900" s="129" t="s">
        <v>114</v>
      </c>
    </row>
    <row r="901" spans="1:4">
      <c r="A901" s="129" t="s">
        <v>1517</v>
      </c>
      <c r="B901" s="129"/>
      <c r="C901" s="129" t="s">
        <v>113</v>
      </c>
      <c r="D901" s="129" t="s">
        <v>114</v>
      </c>
    </row>
    <row r="902" spans="1:4">
      <c r="A902" s="129" t="s">
        <v>1470</v>
      </c>
      <c r="B902" s="129"/>
      <c r="C902" s="129" t="s">
        <v>113</v>
      </c>
      <c r="D902" s="129" t="s">
        <v>114</v>
      </c>
    </row>
    <row r="903" spans="1:4">
      <c r="A903" s="129" t="s">
        <v>1553</v>
      </c>
      <c r="B903" s="129"/>
      <c r="C903" s="129" t="s">
        <v>113</v>
      </c>
      <c r="D903" s="129" t="s">
        <v>114</v>
      </c>
    </row>
    <row r="904" spans="1:4">
      <c r="A904" s="129" t="s">
        <v>1518</v>
      </c>
      <c r="B904" s="129"/>
      <c r="C904" s="129" t="s">
        <v>113</v>
      </c>
      <c r="D904" s="129" t="s">
        <v>114</v>
      </c>
    </row>
    <row r="905" spans="1:4">
      <c r="A905" s="129" t="s">
        <v>1554</v>
      </c>
      <c r="B905" s="129"/>
      <c r="C905" s="129" t="s">
        <v>113</v>
      </c>
      <c r="D905" s="129" t="s">
        <v>114</v>
      </c>
    </row>
    <row r="906" spans="1:4">
      <c r="A906" s="129" t="s">
        <v>1555</v>
      </c>
      <c r="B906" s="129"/>
      <c r="C906" s="129" t="s">
        <v>113</v>
      </c>
      <c r="D906" s="129" t="s">
        <v>114</v>
      </c>
    </row>
    <row r="907" spans="1:4">
      <c r="A907" s="129" t="s">
        <v>1556</v>
      </c>
      <c r="B907" s="129"/>
      <c r="C907" s="129" t="s">
        <v>113</v>
      </c>
      <c r="D907" s="129" t="s">
        <v>114</v>
      </c>
    </row>
    <row r="908" spans="1:4">
      <c r="A908" s="129" t="s">
        <v>1519</v>
      </c>
      <c r="B908" s="129"/>
      <c r="C908" s="129" t="s">
        <v>113</v>
      </c>
      <c r="D908" s="129" t="s">
        <v>114</v>
      </c>
    </row>
    <row r="909" spans="1:4">
      <c r="A909" s="129" t="s">
        <v>1520</v>
      </c>
      <c r="B909" s="129"/>
      <c r="C909" s="129" t="s">
        <v>113</v>
      </c>
      <c r="D909" s="129" t="s">
        <v>114</v>
      </c>
    </row>
    <row r="910" spans="1:4">
      <c r="A910" s="129" t="s">
        <v>1471</v>
      </c>
      <c r="B910" s="129"/>
      <c r="C910" s="129" t="s">
        <v>113</v>
      </c>
      <c r="D910" s="129" t="s">
        <v>114</v>
      </c>
    </row>
    <row r="911" spans="1:4">
      <c r="A911" s="129" t="s">
        <v>1521</v>
      </c>
      <c r="B911" s="129"/>
      <c r="C911" s="129" t="s">
        <v>113</v>
      </c>
      <c r="D911" s="129" t="s">
        <v>114</v>
      </c>
    </row>
    <row r="912" spans="1:4">
      <c r="A912" s="129" t="s">
        <v>1522</v>
      </c>
      <c r="B912" s="129"/>
      <c r="C912" s="129" t="s">
        <v>113</v>
      </c>
      <c r="D912" s="129" t="s">
        <v>114</v>
      </c>
    </row>
    <row r="913" spans="1:4">
      <c r="A913" s="129" t="s">
        <v>1557</v>
      </c>
      <c r="B913" s="129"/>
      <c r="C913" s="129" t="s">
        <v>113</v>
      </c>
      <c r="D913" s="129" t="s">
        <v>114</v>
      </c>
    </row>
    <row r="914" spans="1:4">
      <c r="A914" s="129" t="s">
        <v>1472</v>
      </c>
      <c r="B914" s="129"/>
      <c r="C914" s="129" t="s">
        <v>113</v>
      </c>
      <c r="D914" s="129" t="s">
        <v>114</v>
      </c>
    </row>
    <row r="915" spans="1:4">
      <c r="A915" s="129" t="s">
        <v>1558</v>
      </c>
      <c r="B915" s="129"/>
      <c r="C915" s="129" t="s">
        <v>113</v>
      </c>
      <c r="D915" s="129" t="s">
        <v>114</v>
      </c>
    </row>
    <row r="916" spans="1:4">
      <c r="A916" s="129" t="s">
        <v>1473</v>
      </c>
      <c r="B916" s="129"/>
      <c r="C916" s="129" t="s">
        <v>113</v>
      </c>
      <c r="D916" s="129" t="s">
        <v>114</v>
      </c>
    </row>
    <row r="917" spans="1:4">
      <c r="A917" s="129" t="s">
        <v>1559</v>
      </c>
      <c r="B917" s="129"/>
      <c r="C917" s="129" t="s">
        <v>113</v>
      </c>
      <c r="D917" s="129" t="s">
        <v>114</v>
      </c>
    </row>
    <row r="918" spans="1:4">
      <c r="A918" s="129" t="s">
        <v>1523</v>
      </c>
      <c r="B918" s="129"/>
      <c r="C918" s="129" t="s">
        <v>113</v>
      </c>
      <c r="D918" s="129" t="s">
        <v>114</v>
      </c>
    </row>
    <row r="919" spans="1:4">
      <c r="A919" s="129" t="s">
        <v>1524</v>
      </c>
      <c r="B919" s="129"/>
      <c r="C919" s="129" t="s">
        <v>113</v>
      </c>
      <c r="D919" s="129" t="s">
        <v>114</v>
      </c>
    </row>
    <row r="920" spans="1:4">
      <c r="A920" s="129" t="s">
        <v>1474</v>
      </c>
      <c r="B920" s="129"/>
      <c r="C920" s="129" t="s">
        <v>113</v>
      </c>
      <c r="D920" s="129" t="s">
        <v>114</v>
      </c>
    </row>
    <row r="921" spans="1:4">
      <c r="A921" s="129" t="s">
        <v>1560</v>
      </c>
      <c r="B921" s="129"/>
      <c r="C921" s="129" t="s">
        <v>113</v>
      </c>
      <c r="D921" s="129" t="s">
        <v>114</v>
      </c>
    </row>
    <row r="922" spans="1:4">
      <c r="A922" s="129" t="s">
        <v>1475</v>
      </c>
      <c r="B922" s="129"/>
      <c r="C922" s="129" t="s">
        <v>113</v>
      </c>
      <c r="D922" s="129" t="s">
        <v>114</v>
      </c>
    </row>
    <row r="923" spans="1:4">
      <c r="A923" s="129" t="s">
        <v>1525</v>
      </c>
      <c r="B923" s="129"/>
      <c r="C923" s="129" t="s">
        <v>113</v>
      </c>
      <c r="D923" s="129" t="s">
        <v>114</v>
      </c>
    </row>
    <row r="924" spans="1:4">
      <c r="A924" s="129" t="s">
        <v>1526</v>
      </c>
      <c r="B924" s="129"/>
      <c r="C924" s="129" t="s">
        <v>113</v>
      </c>
      <c r="D924" s="129" t="s">
        <v>114</v>
      </c>
    </row>
    <row r="925" spans="1:4">
      <c r="A925" s="129" t="s">
        <v>1476</v>
      </c>
      <c r="B925" s="129"/>
      <c r="C925" s="129" t="s">
        <v>113</v>
      </c>
      <c r="D925" s="129" t="s">
        <v>114</v>
      </c>
    </row>
    <row r="926" spans="1:4">
      <c r="A926" s="129" t="s">
        <v>1596</v>
      </c>
      <c r="B926" s="129"/>
      <c r="C926" s="129" t="s">
        <v>113</v>
      </c>
      <c r="D926" s="129" t="s">
        <v>114</v>
      </c>
    </row>
    <row r="927" spans="1:4">
      <c r="A927" s="129" t="s">
        <v>1561</v>
      </c>
      <c r="B927" s="129"/>
      <c r="C927" s="129" t="s">
        <v>113</v>
      </c>
      <c r="D927" s="129" t="s">
        <v>114</v>
      </c>
    </row>
    <row r="928" spans="1:4">
      <c r="A928" s="129" t="s">
        <v>1477</v>
      </c>
      <c r="B928" s="129"/>
      <c r="C928" s="129" t="s">
        <v>113</v>
      </c>
      <c r="D928" s="129" t="s">
        <v>114</v>
      </c>
    </row>
    <row r="929" spans="1:4">
      <c r="A929" s="129" t="s">
        <v>1527</v>
      </c>
      <c r="B929" s="129"/>
      <c r="C929" s="129" t="s">
        <v>113</v>
      </c>
      <c r="D929" s="129" t="s">
        <v>114</v>
      </c>
    </row>
    <row r="930" spans="1:4">
      <c r="A930" s="129" t="s">
        <v>1528</v>
      </c>
      <c r="B930" s="129"/>
      <c r="C930" s="129" t="s">
        <v>113</v>
      </c>
      <c r="D930" s="129" t="s">
        <v>114</v>
      </c>
    </row>
    <row r="931" spans="1:4">
      <c r="A931" s="129" t="s">
        <v>1562</v>
      </c>
      <c r="B931" s="129"/>
      <c r="C931" s="129" t="s">
        <v>113</v>
      </c>
      <c r="D931" s="129" t="s">
        <v>114</v>
      </c>
    </row>
    <row r="932" spans="1:4">
      <c r="A932" s="129" t="s">
        <v>1529</v>
      </c>
      <c r="B932" s="129"/>
      <c r="C932" s="129" t="s">
        <v>113</v>
      </c>
      <c r="D932" s="129" t="s">
        <v>114</v>
      </c>
    </row>
    <row r="933" spans="1:4">
      <c r="A933" s="129" t="s">
        <v>1584</v>
      </c>
      <c r="B933" s="129"/>
      <c r="C933" s="129" t="s">
        <v>113</v>
      </c>
      <c r="D933" s="129" t="s">
        <v>114</v>
      </c>
    </row>
    <row r="934" spans="1:4">
      <c r="A934" s="129" t="s">
        <v>1530</v>
      </c>
      <c r="B934" s="129"/>
      <c r="C934" s="129" t="s">
        <v>113</v>
      </c>
      <c r="D934" s="129" t="s">
        <v>114</v>
      </c>
    </row>
    <row r="935" spans="1:4">
      <c r="A935" s="129" t="s">
        <v>1478</v>
      </c>
      <c r="B935" s="129"/>
      <c r="C935" s="129" t="s">
        <v>113</v>
      </c>
      <c r="D935" s="129" t="s">
        <v>114</v>
      </c>
    </row>
    <row r="936" spans="1:4">
      <c r="A936" s="129" t="s">
        <v>1563</v>
      </c>
      <c r="B936" s="129"/>
      <c r="C936" s="129" t="s">
        <v>113</v>
      </c>
      <c r="D936" s="129" t="s">
        <v>114</v>
      </c>
    </row>
    <row r="937" spans="1:4">
      <c r="A937" s="129" t="s">
        <v>1604</v>
      </c>
      <c r="B937" s="129"/>
      <c r="C937" s="129" t="s">
        <v>113</v>
      </c>
      <c r="D937" s="129" t="s">
        <v>114</v>
      </c>
    </row>
    <row r="938" spans="1:4">
      <c r="A938" s="129" t="s">
        <v>1564</v>
      </c>
      <c r="B938" s="129"/>
      <c r="C938" s="129" t="s">
        <v>113</v>
      </c>
      <c r="D938" s="129" t="s">
        <v>114</v>
      </c>
    </row>
    <row r="939" spans="1:4">
      <c r="A939" s="129" t="s">
        <v>1531</v>
      </c>
      <c r="B939" s="129"/>
      <c r="C939" s="129" t="s">
        <v>113</v>
      </c>
      <c r="D939" s="129" t="s">
        <v>114</v>
      </c>
    </row>
    <row r="940" spans="1:4">
      <c r="A940" s="129" t="s">
        <v>1479</v>
      </c>
      <c r="B940" s="129"/>
      <c r="C940" s="129" t="s">
        <v>113</v>
      </c>
      <c r="D940" s="129" t="s">
        <v>114</v>
      </c>
    </row>
    <row r="941" spans="1:4">
      <c r="A941" s="129" t="s">
        <v>1480</v>
      </c>
      <c r="B941" s="129"/>
      <c r="C941" s="129" t="s">
        <v>113</v>
      </c>
      <c r="D941" s="129" t="s">
        <v>114</v>
      </c>
    </row>
    <row r="942" spans="1:4">
      <c r="A942" s="129" t="s">
        <v>1481</v>
      </c>
      <c r="B942" s="129"/>
      <c r="C942" s="129" t="s">
        <v>113</v>
      </c>
      <c r="D942" s="129" t="s">
        <v>114</v>
      </c>
    </row>
    <row r="943" spans="1:4">
      <c r="A943" s="129" t="s">
        <v>1532</v>
      </c>
      <c r="B943" s="129"/>
      <c r="C943" s="129" t="s">
        <v>113</v>
      </c>
      <c r="D943" s="129" t="s">
        <v>114</v>
      </c>
    </row>
    <row r="944" spans="1:4">
      <c r="A944" s="129" t="s">
        <v>1482</v>
      </c>
      <c r="B944" s="129"/>
      <c r="C944" s="129" t="s">
        <v>113</v>
      </c>
      <c r="D944" s="129" t="s">
        <v>114</v>
      </c>
    </row>
    <row r="945" spans="1:4">
      <c r="A945" s="129" t="s">
        <v>1483</v>
      </c>
      <c r="B945" s="129"/>
      <c r="C945" s="129" t="s">
        <v>113</v>
      </c>
      <c r="D945" s="129" t="s">
        <v>114</v>
      </c>
    </row>
    <row r="946" spans="1:4">
      <c r="A946" s="129" t="s">
        <v>1484</v>
      </c>
      <c r="B946" s="129"/>
      <c r="C946" s="129" t="s">
        <v>113</v>
      </c>
      <c r="D946" s="129" t="s">
        <v>114</v>
      </c>
    </row>
    <row r="947" spans="1:4">
      <c r="A947" s="129" t="s">
        <v>1485</v>
      </c>
      <c r="B947" s="129"/>
      <c r="C947" s="129" t="s">
        <v>113</v>
      </c>
      <c r="D947" s="129" t="s">
        <v>114</v>
      </c>
    </row>
    <row r="948" spans="1:4">
      <c r="A948" s="129" t="s">
        <v>1486</v>
      </c>
      <c r="B948" s="129"/>
      <c r="C948" s="129" t="s">
        <v>113</v>
      </c>
      <c r="D948" s="129" t="s">
        <v>114</v>
      </c>
    </row>
    <row r="949" spans="1:4">
      <c r="A949" s="129" t="s">
        <v>1487</v>
      </c>
      <c r="B949" s="129"/>
      <c r="C949" s="129" t="s">
        <v>113</v>
      </c>
      <c r="D949" s="129" t="s">
        <v>114</v>
      </c>
    </row>
    <row r="950" spans="1:4">
      <c r="A950" s="129" t="s">
        <v>1488</v>
      </c>
      <c r="B950" s="129"/>
      <c r="C950" s="129" t="s">
        <v>113</v>
      </c>
      <c r="D950" s="129" t="s">
        <v>114</v>
      </c>
    </row>
    <row r="951" spans="1:4">
      <c r="A951" s="129" t="s">
        <v>1565</v>
      </c>
      <c r="B951" s="129"/>
      <c r="C951" s="129" t="s">
        <v>113</v>
      </c>
      <c r="D951" s="129" t="s">
        <v>114</v>
      </c>
    </row>
    <row r="952" spans="1:4">
      <c r="A952" s="129" t="s">
        <v>1566</v>
      </c>
      <c r="B952" s="129"/>
      <c r="C952" s="129" t="s">
        <v>113</v>
      </c>
      <c r="D952" s="129" t="s">
        <v>114</v>
      </c>
    </row>
    <row r="953" spans="1:4">
      <c r="A953" s="129" t="s">
        <v>1585</v>
      </c>
      <c r="B953" s="129"/>
      <c r="C953" s="129" t="s">
        <v>113</v>
      </c>
      <c r="D953" s="129" t="s">
        <v>114</v>
      </c>
    </row>
    <row r="954" spans="1:4">
      <c r="A954" s="129" t="s">
        <v>1567</v>
      </c>
      <c r="B954" s="129"/>
      <c r="C954" s="129" t="s">
        <v>113</v>
      </c>
      <c r="D954" s="129" t="s">
        <v>114</v>
      </c>
    </row>
    <row r="955" spans="1:4">
      <c r="A955" s="129" t="s">
        <v>1597</v>
      </c>
      <c r="B955" s="129"/>
      <c r="C955" s="129" t="s">
        <v>113</v>
      </c>
      <c r="D955" s="129" t="s">
        <v>114</v>
      </c>
    </row>
    <row r="956" spans="1:4">
      <c r="A956" s="129" t="s">
        <v>1586</v>
      </c>
      <c r="B956" s="129"/>
      <c r="C956" s="129" t="s">
        <v>113</v>
      </c>
      <c r="D956" s="129" t="s">
        <v>114</v>
      </c>
    </row>
    <row r="957" spans="1:4">
      <c r="A957" s="129" t="s">
        <v>1598</v>
      </c>
      <c r="B957" s="129"/>
      <c r="C957" s="129" t="s">
        <v>113</v>
      </c>
      <c r="D957" s="129" t="s">
        <v>114</v>
      </c>
    </row>
    <row r="958" spans="1:4">
      <c r="A958" s="129" t="s">
        <v>1568</v>
      </c>
      <c r="B958" s="129"/>
      <c r="C958" s="129" t="s">
        <v>113</v>
      </c>
      <c r="D958" s="129" t="s">
        <v>114</v>
      </c>
    </row>
    <row r="959" spans="1:4">
      <c r="A959" s="129" t="s">
        <v>1599</v>
      </c>
      <c r="B959" s="129"/>
      <c r="C959" s="129" t="s">
        <v>113</v>
      </c>
      <c r="D959" s="129" t="s">
        <v>114</v>
      </c>
    </row>
    <row r="960" spans="1:4">
      <c r="A960" s="129" t="s">
        <v>1569</v>
      </c>
      <c r="B960" s="129"/>
      <c r="C960" s="129" t="s">
        <v>113</v>
      </c>
      <c r="D960" s="129" t="s">
        <v>114</v>
      </c>
    </row>
    <row r="961" spans="1:4">
      <c r="A961" s="129" t="s">
        <v>1570</v>
      </c>
      <c r="B961" s="129"/>
      <c r="C961" s="129" t="s">
        <v>113</v>
      </c>
      <c r="D961" s="129" t="s">
        <v>114</v>
      </c>
    </row>
    <row r="962" spans="1:4">
      <c r="A962" s="129" t="s">
        <v>1571</v>
      </c>
      <c r="B962" s="129"/>
      <c r="C962" s="129" t="s">
        <v>113</v>
      </c>
      <c r="D962" s="129" t="s">
        <v>114</v>
      </c>
    </row>
    <row r="963" spans="1:4">
      <c r="A963" s="129" t="s">
        <v>1533</v>
      </c>
      <c r="B963" s="129"/>
      <c r="C963" s="129" t="s">
        <v>113</v>
      </c>
      <c r="D963" s="129" t="s">
        <v>114</v>
      </c>
    </row>
    <row r="964" spans="1:4">
      <c r="A964" s="129" t="s">
        <v>1572</v>
      </c>
      <c r="B964" s="129"/>
      <c r="C964" s="129" t="s">
        <v>113</v>
      </c>
      <c r="D964" s="129" t="s">
        <v>114</v>
      </c>
    </row>
    <row r="965" spans="1:4">
      <c r="A965" s="129" t="s">
        <v>1573</v>
      </c>
      <c r="B965" s="129"/>
      <c r="C965" s="129" t="s">
        <v>113</v>
      </c>
      <c r="D965" s="129" t="s">
        <v>114</v>
      </c>
    </row>
    <row r="966" spans="1:4">
      <c r="A966" s="129" t="s">
        <v>1574</v>
      </c>
      <c r="B966" s="129"/>
      <c r="C966" s="129" t="s">
        <v>113</v>
      </c>
      <c r="D966" s="129" t="s">
        <v>114</v>
      </c>
    </row>
    <row r="967" spans="1:4">
      <c r="A967" s="129" t="s">
        <v>1534</v>
      </c>
      <c r="B967" s="129"/>
      <c r="C967" s="129" t="s">
        <v>113</v>
      </c>
      <c r="D967" s="129" t="s">
        <v>114</v>
      </c>
    </row>
    <row r="968" spans="1:4">
      <c r="A968" s="129" t="s">
        <v>1575</v>
      </c>
      <c r="B968" s="129"/>
      <c r="C968" s="129" t="s">
        <v>113</v>
      </c>
      <c r="D968" s="129" t="s">
        <v>114</v>
      </c>
    </row>
    <row r="969" spans="1:4">
      <c r="A969" s="129" t="s">
        <v>1535</v>
      </c>
      <c r="B969" s="129"/>
      <c r="C969" s="129" t="s">
        <v>113</v>
      </c>
      <c r="D969" s="129" t="s">
        <v>114</v>
      </c>
    </row>
    <row r="970" spans="1:4">
      <c r="A970" s="129" t="s">
        <v>1600</v>
      </c>
      <c r="B970" s="129"/>
      <c r="C970" s="129" t="s">
        <v>113</v>
      </c>
      <c r="D970" s="129" t="s">
        <v>114</v>
      </c>
    </row>
    <row r="971" spans="1:4">
      <c r="A971" s="129" t="s">
        <v>1489</v>
      </c>
      <c r="B971" s="129"/>
      <c r="C971" s="129" t="s">
        <v>113</v>
      </c>
      <c r="D971" s="129" t="s">
        <v>114</v>
      </c>
    </row>
    <row r="972" spans="1:4">
      <c r="A972" s="129" t="s">
        <v>1605</v>
      </c>
      <c r="B972" s="129"/>
      <c r="C972" s="129" t="s">
        <v>113</v>
      </c>
      <c r="D972" s="129" t="s">
        <v>114</v>
      </c>
    </row>
    <row r="973" spans="1:4">
      <c r="A973" s="129" t="s">
        <v>1490</v>
      </c>
      <c r="B973" s="129"/>
      <c r="C973" s="129" t="s">
        <v>113</v>
      </c>
      <c r="D973" s="129" t="s">
        <v>114</v>
      </c>
    </row>
    <row r="974" spans="1:4">
      <c r="A974" s="129" t="s">
        <v>1491</v>
      </c>
      <c r="B974" s="129"/>
      <c r="C974" s="129" t="s">
        <v>113</v>
      </c>
      <c r="D974" s="129" t="s">
        <v>114</v>
      </c>
    </row>
    <row r="975" spans="1:4">
      <c r="A975" s="129" t="s">
        <v>1492</v>
      </c>
      <c r="B975" s="129"/>
      <c r="C975" s="129" t="s">
        <v>113</v>
      </c>
      <c r="D975" s="129" t="s">
        <v>114</v>
      </c>
    </row>
    <row r="976" spans="1:4">
      <c r="A976" s="129" t="s">
        <v>1601</v>
      </c>
      <c r="B976" s="129"/>
      <c r="C976" s="129" t="s">
        <v>113</v>
      </c>
      <c r="D976" s="129" t="s">
        <v>114</v>
      </c>
    </row>
    <row r="977" spans="1:4">
      <c r="A977" s="129" t="s">
        <v>1493</v>
      </c>
      <c r="B977" s="129"/>
      <c r="C977" s="129" t="s">
        <v>113</v>
      </c>
      <c r="D977" s="129" t="s">
        <v>114</v>
      </c>
    </row>
    <row r="978" spans="1:4">
      <c r="A978" s="129" t="s">
        <v>1494</v>
      </c>
      <c r="B978" s="129"/>
      <c r="C978" s="129" t="s">
        <v>113</v>
      </c>
      <c r="D978" s="129" t="s">
        <v>114</v>
      </c>
    </row>
    <row r="979" spans="1:4">
      <c r="A979" s="129" t="s">
        <v>1536</v>
      </c>
      <c r="B979" s="129"/>
      <c r="C979" s="129" t="s">
        <v>113</v>
      </c>
      <c r="D979" s="129" t="s">
        <v>114</v>
      </c>
    </row>
    <row r="980" spans="1:4">
      <c r="A980" s="129" t="s">
        <v>1495</v>
      </c>
      <c r="B980" s="129"/>
      <c r="C980" s="129" t="s">
        <v>113</v>
      </c>
      <c r="D980" s="129" t="s">
        <v>114</v>
      </c>
    </row>
    <row r="981" spans="1:4">
      <c r="A981" s="129" t="s">
        <v>1496</v>
      </c>
      <c r="B981" s="129"/>
      <c r="C981" s="129" t="s">
        <v>113</v>
      </c>
      <c r="D981" s="129" t="s">
        <v>114</v>
      </c>
    </row>
    <row r="982" spans="1:4">
      <c r="A982" s="129" t="s">
        <v>1497</v>
      </c>
      <c r="B982" s="129"/>
      <c r="C982" s="129" t="s">
        <v>113</v>
      </c>
      <c r="D982" s="129" t="s">
        <v>114</v>
      </c>
    </row>
    <row r="983" spans="1:4">
      <c r="A983" s="129" t="s">
        <v>1537</v>
      </c>
      <c r="B983" s="129"/>
      <c r="C983" s="129" t="s">
        <v>113</v>
      </c>
      <c r="D983" s="129" t="s">
        <v>114</v>
      </c>
    </row>
    <row r="984" spans="1:4">
      <c r="A984" s="129" t="s">
        <v>1498</v>
      </c>
      <c r="B984" s="129"/>
      <c r="C984" s="129" t="s">
        <v>113</v>
      </c>
      <c r="D984" s="129" t="s">
        <v>114</v>
      </c>
    </row>
    <row r="985" spans="1:4">
      <c r="A985" s="129" t="s">
        <v>1499</v>
      </c>
      <c r="B985" s="129"/>
      <c r="C985" s="129" t="s">
        <v>113</v>
      </c>
      <c r="D985" s="129" t="s">
        <v>114</v>
      </c>
    </row>
    <row r="986" spans="1:4">
      <c r="A986" s="129" t="s">
        <v>1576</v>
      </c>
      <c r="B986" s="129"/>
      <c r="C986" s="129" t="s">
        <v>113</v>
      </c>
      <c r="D986" s="129" t="s">
        <v>114</v>
      </c>
    </row>
    <row r="987" spans="1:4">
      <c r="A987" s="129" t="s">
        <v>1500</v>
      </c>
      <c r="B987" s="129"/>
      <c r="C987" s="129" t="s">
        <v>113</v>
      </c>
      <c r="D987" s="129" t="s">
        <v>114</v>
      </c>
    </row>
    <row r="988" spans="1:4">
      <c r="A988" s="129" t="s">
        <v>1501</v>
      </c>
      <c r="B988" s="129"/>
      <c r="C988" s="129" t="s">
        <v>113</v>
      </c>
      <c r="D988" s="129" t="s">
        <v>114</v>
      </c>
    </row>
    <row r="989" spans="1:4">
      <c r="A989" s="129" t="s">
        <v>1577</v>
      </c>
      <c r="B989" s="129"/>
      <c r="C989" s="129" t="s">
        <v>113</v>
      </c>
      <c r="D989" s="129" t="s">
        <v>114</v>
      </c>
    </row>
    <row r="990" spans="1:4">
      <c r="A990" s="129" t="s">
        <v>1538</v>
      </c>
      <c r="B990" s="129"/>
      <c r="C990" s="129" t="s">
        <v>113</v>
      </c>
      <c r="D990" s="129" t="s">
        <v>114</v>
      </c>
    </row>
    <row r="991" spans="1:4">
      <c r="A991" s="129" t="s">
        <v>1502</v>
      </c>
      <c r="B991" s="129"/>
      <c r="C991" s="129" t="s">
        <v>113</v>
      </c>
      <c r="D991" s="129" t="s">
        <v>114</v>
      </c>
    </row>
    <row r="992" spans="1:4">
      <c r="A992" s="129" t="s">
        <v>1539</v>
      </c>
      <c r="B992" s="129"/>
      <c r="C992" s="129" t="s">
        <v>113</v>
      </c>
      <c r="D992" s="129" t="s">
        <v>114</v>
      </c>
    </row>
    <row r="993" spans="1:4">
      <c r="A993" s="129" t="s">
        <v>1540</v>
      </c>
      <c r="B993" s="129"/>
      <c r="C993" s="129" t="s">
        <v>113</v>
      </c>
      <c r="D993" s="129" t="s">
        <v>114</v>
      </c>
    </row>
    <row r="994" spans="1:4">
      <c r="A994" s="129" t="s">
        <v>1578</v>
      </c>
      <c r="B994" s="129"/>
      <c r="C994" s="129" t="s">
        <v>113</v>
      </c>
      <c r="D994" s="129" t="s">
        <v>114</v>
      </c>
    </row>
    <row r="995" spans="1:4">
      <c r="A995" s="129" t="s">
        <v>1541</v>
      </c>
      <c r="B995" s="129"/>
      <c r="C995" s="129" t="s">
        <v>113</v>
      </c>
      <c r="D995" s="129" t="s">
        <v>114</v>
      </c>
    </row>
    <row r="996" spans="1:4">
      <c r="A996" s="129" t="s">
        <v>1503</v>
      </c>
      <c r="B996" s="129"/>
      <c r="C996" s="129" t="s">
        <v>113</v>
      </c>
      <c r="D996" s="129" t="s">
        <v>114</v>
      </c>
    </row>
    <row r="997" spans="1:4">
      <c r="A997" s="129" t="s">
        <v>1542</v>
      </c>
      <c r="B997" s="129"/>
      <c r="C997" s="129" t="s">
        <v>113</v>
      </c>
      <c r="D997" s="129" t="s">
        <v>114</v>
      </c>
    </row>
    <row r="998" spans="1:4">
      <c r="A998" s="129" t="s">
        <v>1504</v>
      </c>
      <c r="B998" s="129"/>
      <c r="C998" s="129" t="s">
        <v>113</v>
      </c>
      <c r="D998" s="129" t="s">
        <v>114</v>
      </c>
    </row>
    <row r="999" spans="1:4">
      <c r="A999" s="129" t="s">
        <v>1505</v>
      </c>
      <c r="B999" s="129"/>
      <c r="C999" s="129" t="s">
        <v>113</v>
      </c>
      <c r="D999" s="129" t="s">
        <v>114</v>
      </c>
    </row>
    <row r="1000" spans="1:4">
      <c r="A1000" s="129" t="s">
        <v>1543</v>
      </c>
      <c r="B1000" s="129"/>
      <c r="C1000" s="129" t="s">
        <v>113</v>
      </c>
      <c r="D1000" s="129" t="s">
        <v>114</v>
      </c>
    </row>
    <row r="1001" spans="1:4">
      <c r="A1001" s="129" t="s">
        <v>1606</v>
      </c>
      <c r="B1001" s="129"/>
      <c r="C1001" s="129" t="s">
        <v>113</v>
      </c>
      <c r="D1001" s="129" t="s">
        <v>114</v>
      </c>
    </row>
    <row r="1002" spans="1:4">
      <c r="A1002" s="129" t="s">
        <v>1544</v>
      </c>
      <c r="B1002" s="129"/>
      <c r="C1002" s="129" t="s">
        <v>113</v>
      </c>
      <c r="D1002" s="129" t="s">
        <v>114</v>
      </c>
    </row>
    <row r="1003" spans="1:4">
      <c r="A1003" s="129" t="s">
        <v>1587</v>
      </c>
      <c r="B1003" s="129"/>
      <c r="C1003" s="129" t="s">
        <v>113</v>
      </c>
      <c r="D1003" s="129" t="s">
        <v>114</v>
      </c>
    </row>
    <row r="1004" spans="1:4">
      <c r="A1004" s="129" t="s">
        <v>432</v>
      </c>
      <c r="B1004" s="129"/>
      <c r="C1004" s="129" t="s">
        <v>133</v>
      </c>
      <c r="D1004" s="129" t="s">
        <v>134</v>
      </c>
    </row>
    <row r="1005" spans="1:4">
      <c r="A1005" s="129" t="s">
        <v>1638</v>
      </c>
      <c r="B1005" s="129"/>
      <c r="C1005" s="129" t="s">
        <v>133</v>
      </c>
      <c r="D1005" s="129" t="s">
        <v>134</v>
      </c>
    </row>
    <row r="1006" spans="1:4">
      <c r="A1006" s="129" t="s">
        <v>1639</v>
      </c>
      <c r="B1006" s="129"/>
      <c r="C1006" s="129" t="s">
        <v>133</v>
      </c>
      <c r="D1006" s="129" t="s">
        <v>134</v>
      </c>
    </row>
    <row r="1007" spans="1:4">
      <c r="A1007" s="129" t="s">
        <v>591</v>
      </c>
      <c r="B1007" s="129"/>
      <c r="C1007" s="129" t="s">
        <v>158</v>
      </c>
      <c r="D1007" s="129" t="s">
        <v>159</v>
      </c>
    </row>
    <row r="1008" spans="1:4">
      <c r="A1008" s="129" t="s">
        <v>598</v>
      </c>
      <c r="B1008" s="129"/>
      <c r="C1008" s="129" t="s">
        <v>158</v>
      </c>
      <c r="D1008" s="129" t="s">
        <v>159</v>
      </c>
    </row>
    <row r="1009" spans="1:4">
      <c r="A1009" s="129" t="s">
        <v>740</v>
      </c>
      <c r="B1009" s="129"/>
      <c r="C1009" s="129" t="s">
        <v>158</v>
      </c>
      <c r="D1009" s="129" t="s">
        <v>159</v>
      </c>
    </row>
    <row r="1010" spans="1:4">
      <c r="A1010" s="129" t="s">
        <v>739</v>
      </c>
      <c r="B1010" s="129"/>
      <c r="C1010" s="129" t="s">
        <v>158</v>
      </c>
      <c r="D1010" s="129" t="s">
        <v>159</v>
      </c>
    </row>
    <row r="1011" spans="1:4">
      <c r="A1011" s="129" t="s">
        <v>738</v>
      </c>
      <c r="B1011" s="129"/>
      <c r="C1011" s="129" t="s">
        <v>158</v>
      </c>
      <c r="D1011" s="129" t="s">
        <v>159</v>
      </c>
    </row>
    <row r="1012" spans="1:4">
      <c r="A1012" s="129" t="s">
        <v>600</v>
      </c>
      <c r="B1012" s="129"/>
      <c r="C1012" s="129" t="s">
        <v>125</v>
      </c>
      <c r="D1012" s="129" t="s">
        <v>126</v>
      </c>
    </row>
    <row r="1013" spans="1:4">
      <c r="A1013" s="129" t="s">
        <v>603</v>
      </c>
      <c r="B1013" s="129"/>
      <c r="C1013" s="129" t="s">
        <v>79</v>
      </c>
      <c r="D1013" s="129" t="s">
        <v>80</v>
      </c>
    </row>
    <row r="1014" spans="1:4">
      <c r="A1014" s="129" t="s">
        <v>1313</v>
      </c>
      <c r="B1014" s="129"/>
      <c r="C1014" s="129" t="s">
        <v>79</v>
      </c>
      <c r="D1014" s="129" t="s">
        <v>80</v>
      </c>
    </row>
    <row r="1015" spans="1:4">
      <c r="A1015" s="129" t="s">
        <v>641</v>
      </c>
      <c r="B1015" s="129"/>
      <c r="C1015" s="129" t="s">
        <v>79</v>
      </c>
      <c r="D1015" s="129" t="s">
        <v>80</v>
      </c>
    </row>
    <row r="1016" spans="1:4">
      <c r="A1016" s="129" t="s">
        <v>858</v>
      </c>
      <c r="B1016" s="129" t="s">
        <v>1314</v>
      </c>
      <c r="C1016" s="129" t="s">
        <v>79</v>
      </c>
      <c r="D1016" s="129" t="s">
        <v>80</v>
      </c>
    </row>
    <row r="1017" spans="1:4">
      <c r="A1017" s="129" t="s">
        <v>858</v>
      </c>
      <c r="B1017" s="129" t="s">
        <v>1315</v>
      </c>
      <c r="C1017" s="129" t="s">
        <v>79</v>
      </c>
      <c r="D1017" s="129" t="s">
        <v>80</v>
      </c>
    </row>
    <row r="1018" spans="1:4">
      <c r="A1018" s="129" t="s">
        <v>607</v>
      </c>
      <c r="B1018" s="129"/>
      <c r="C1018" s="129" t="s">
        <v>79</v>
      </c>
      <c r="D1018" s="129" t="s">
        <v>80</v>
      </c>
    </row>
    <row r="1019" spans="1:4">
      <c r="A1019" s="129" t="s">
        <v>724</v>
      </c>
      <c r="B1019" s="129"/>
      <c r="C1019" s="129" t="s">
        <v>79</v>
      </c>
      <c r="D1019" s="129" t="s">
        <v>80</v>
      </c>
    </row>
  </sheetData>
  <hyperlinks>
    <hyperlink ref="D2" r:id="rId1" display="Nome do PAN"/>
  </hyperlinks>
  <pageMargins left="0.7" right="0.7" top="0.75" bottom="0.75" header="0.3" footer="0.3"/>
  <pageSetup paperSize="9" orientation="portrait" r:id="rId2"/>
  <tableParts count="1">
    <tablePart r:id="rId3"/>
  </tableParts>
</worksheet>
</file>

<file path=xl/worksheets/sheet6.xml><?xml version="1.0" encoding="utf-8"?>
<worksheet xmlns="http://schemas.openxmlformats.org/spreadsheetml/2006/main" xmlns:r="http://schemas.openxmlformats.org/officeDocument/2006/relationships">
  <dimension ref="A1:G264"/>
  <sheetViews>
    <sheetView showGridLines="0" zoomScale="90" zoomScaleNormal="90" workbookViewId="0">
      <pane ySplit="2" topLeftCell="A233" activePane="bottomLeft" state="frozen"/>
      <selection pane="bottomLeft" activeCell="A249" sqref="A249"/>
    </sheetView>
  </sheetViews>
  <sheetFormatPr defaultRowHeight="15"/>
  <cols>
    <col min="1" max="1" width="33" style="38" customWidth="1"/>
    <col min="2" max="2" width="40.140625" style="32" customWidth="1"/>
    <col min="3" max="3" width="26.5703125" style="32" customWidth="1"/>
    <col min="4" max="4" width="24.7109375" style="32" customWidth="1"/>
    <col min="5" max="5" width="9.140625" style="32" customWidth="1"/>
    <col min="6" max="6" width="47.42578125" style="32" bestFit="1" customWidth="1"/>
    <col min="7" max="7" width="11.28515625" style="32" bestFit="1" customWidth="1"/>
    <col min="8" max="16384" width="9.140625" style="32"/>
  </cols>
  <sheetData>
    <row r="1" spans="1:7" ht="18" customHeight="1">
      <c r="A1" s="42" t="s">
        <v>2223</v>
      </c>
    </row>
    <row r="2" spans="1:7" s="35" customFormat="1" ht="19.5" customHeight="1">
      <c r="A2" s="39" t="s">
        <v>575</v>
      </c>
      <c r="B2" s="35" t="s">
        <v>576</v>
      </c>
      <c r="C2" s="35" t="s">
        <v>163</v>
      </c>
      <c r="D2" s="36" t="s">
        <v>577</v>
      </c>
      <c r="F2" s="156" t="s">
        <v>1702</v>
      </c>
      <c r="G2" s="156" t="s">
        <v>26</v>
      </c>
    </row>
    <row r="3" spans="1:7">
      <c r="A3" s="38" t="s">
        <v>612</v>
      </c>
      <c r="B3" s="32" t="s">
        <v>1703</v>
      </c>
      <c r="C3" s="32" t="s">
        <v>1704</v>
      </c>
      <c r="D3" s="32" t="s">
        <v>1705</v>
      </c>
      <c r="F3" s="157" t="s">
        <v>2322</v>
      </c>
      <c r="G3" s="158" t="s">
        <v>40</v>
      </c>
    </row>
    <row r="4" spans="1:7">
      <c r="A4" s="38" t="s">
        <v>704</v>
      </c>
      <c r="B4" s="32" t="s">
        <v>1706</v>
      </c>
      <c r="C4" s="32" t="s">
        <v>1704</v>
      </c>
      <c r="D4" s="32" t="s">
        <v>1707</v>
      </c>
      <c r="F4" s="157" t="s">
        <v>91</v>
      </c>
      <c r="G4" s="158" t="s">
        <v>40</v>
      </c>
    </row>
    <row r="5" spans="1:7">
      <c r="A5" s="38" t="s">
        <v>1708</v>
      </c>
      <c r="B5" s="32" t="s">
        <v>1709</v>
      </c>
      <c r="C5" s="32" t="s">
        <v>1710</v>
      </c>
      <c r="D5" s="32" t="s">
        <v>1711</v>
      </c>
      <c r="F5" s="157" t="s">
        <v>602</v>
      </c>
      <c r="G5" s="158" t="s">
        <v>1712</v>
      </c>
    </row>
    <row r="6" spans="1:7">
      <c r="A6" s="38" t="s">
        <v>604</v>
      </c>
      <c r="B6" s="34" t="s">
        <v>1888</v>
      </c>
      <c r="C6" s="34" t="s">
        <v>1724</v>
      </c>
      <c r="D6" s="32" t="s">
        <v>1722</v>
      </c>
      <c r="F6" s="157" t="s">
        <v>613</v>
      </c>
      <c r="G6" s="158" t="s">
        <v>1714</v>
      </c>
    </row>
    <row r="7" spans="1:7">
      <c r="A7" s="37" t="s">
        <v>631</v>
      </c>
      <c r="B7" s="32" t="s">
        <v>1980</v>
      </c>
      <c r="C7" s="32" t="s">
        <v>1724</v>
      </c>
      <c r="D7" s="32" t="s">
        <v>1967</v>
      </c>
      <c r="F7" s="157" t="s">
        <v>626</v>
      </c>
      <c r="G7" s="158" t="s">
        <v>39</v>
      </c>
    </row>
    <row r="8" spans="1:7">
      <c r="A8" s="38" t="s">
        <v>615</v>
      </c>
      <c r="B8" s="32" t="s">
        <v>1713</v>
      </c>
      <c r="C8" s="32" t="s">
        <v>1704</v>
      </c>
      <c r="D8" s="32" t="s">
        <v>1707</v>
      </c>
      <c r="F8" s="157" t="s">
        <v>629</v>
      </c>
      <c r="G8" s="158" t="s">
        <v>40</v>
      </c>
    </row>
    <row r="9" spans="1:7">
      <c r="A9" s="38" t="s">
        <v>614</v>
      </c>
      <c r="B9" s="34" t="s">
        <v>1884</v>
      </c>
      <c r="C9" s="34" t="s">
        <v>1704</v>
      </c>
      <c r="D9" s="32" t="s">
        <v>1722</v>
      </c>
      <c r="F9" s="157" t="s">
        <v>633</v>
      </c>
      <c r="G9" s="158" t="s">
        <v>39</v>
      </c>
    </row>
    <row r="10" spans="1:7">
      <c r="A10" s="38" t="s">
        <v>544</v>
      </c>
      <c r="B10" s="32" t="s">
        <v>1715</v>
      </c>
      <c r="C10" s="32" t="s">
        <v>1704</v>
      </c>
      <c r="D10" s="32" t="s">
        <v>1707</v>
      </c>
      <c r="F10" s="157" t="s">
        <v>634</v>
      </c>
      <c r="G10" s="158" t="s">
        <v>40</v>
      </c>
    </row>
    <row r="11" spans="1:7">
      <c r="A11" s="38" t="s">
        <v>232</v>
      </c>
      <c r="B11" s="32" t="s">
        <v>1716</v>
      </c>
      <c r="C11" s="32" t="s">
        <v>1704</v>
      </c>
      <c r="D11" s="32" t="s">
        <v>1707</v>
      </c>
      <c r="F11" s="157" t="s">
        <v>643</v>
      </c>
      <c r="G11" s="158" t="s">
        <v>40</v>
      </c>
    </row>
    <row r="12" spans="1:7">
      <c r="A12" s="38" t="s">
        <v>839</v>
      </c>
      <c r="B12" s="32" t="s">
        <v>1951</v>
      </c>
      <c r="C12" s="32" t="s">
        <v>1757</v>
      </c>
      <c r="D12" s="32" t="s">
        <v>1783</v>
      </c>
      <c r="F12" s="157" t="s">
        <v>651</v>
      </c>
      <c r="G12" s="158" t="s">
        <v>31</v>
      </c>
    </row>
    <row r="13" spans="1:7">
      <c r="A13" s="38" t="s">
        <v>838</v>
      </c>
      <c r="B13" s="32" t="s">
        <v>1950</v>
      </c>
      <c r="C13" s="32" t="s">
        <v>1757</v>
      </c>
      <c r="D13" s="32" t="s">
        <v>1783</v>
      </c>
      <c r="F13" s="157" t="s">
        <v>2314</v>
      </c>
      <c r="G13" s="158" t="s">
        <v>39</v>
      </c>
    </row>
    <row r="14" spans="1:7">
      <c r="A14" s="38" t="s">
        <v>1259</v>
      </c>
      <c r="B14" s="32" t="s">
        <v>1717</v>
      </c>
      <c r="C14" s="32" t="s">
        <v>1704</v>
      </c>
      <c r="D14" s="32" t="s">
        <v>1707</v>
      </c>
      <c r="F14" s="157" t="s">
        <v>2315</v>
      </c>
      <c r="G14" s="158" t="s">
        <v>1718</v>
      </c>
    </row>
    <row r="15" spans="1:7">
      <c r="A15" s="38" t="s">
        <v>777</v>
      </c>
      <c r="B15" s="32" t="s">
        <v>1895</v>
      </c>
      <c r="C15" s="32" t="s">
        <v>1724</v>
      </c>
      <c r="D15" s="32" t="s">
        <v>1878</v>
      </c>
      <c r="F15" s="157" t="s">
        <v>655</v>
      </c>
      <c r="G15" s="158" t="s">
        <v>40</v>
      </c>
    </row>
    <row r="16" spans="1:7">
      <c r="A16" s="38" t="s">
        <v>779</v>
      </c>
      <c r="B16" s="32" t="s">
        <v>1897</v>
      </c>
      <c r="C16" s="32" t="s">
        <v>1724</v>
      </c>
      <c r="D16" s="32" t="s">
        <v>1878</v>
      </c>
      <c r="F16" s="157" t="s">
        <v>656</v>
      </c>
      <c r="G16" s="158" t="s">
        <v>39</v>
      </c>
    </row>
    <row r="17" spans="1:7">
      <c r="A17" s="38" t="s">
        <v>778</v>
      </c>
      <c r="B17" s="32" t="s">
        <v>1896</v>
      </c>
      <c r="C17" s="32" t="s">
        <v>1724</v>
      </c>
      <c r="D17" s="32" t="s">
        <v>1878</v>
      </c>
      <c r="F17" s="157" t="s">
        <v>663</v>
      </c>
      <c r="G17" s="158" t="s">
        <v>40</v>
      </c>
    </row>
    <row r="18" spans="1:7">
      <c r="A18" s="38" t="s">
        <v>811</v>
      </c>
      <c r="B18" s="34" t="s">
        <v>1927</v>
      </c>
      <c r="C18" s="34" t="s">
        <v>1704</v>
      </c>
      <c r="D18" s="32" t="s">
        <v>1783</v>
      </c>
      <c r="F18" s="157" t="s">
        <v>665</v>
      </c>
      <c r="G18" s="158" t="s">
        <v>40</v>
      </c>
    </row>
    <row r="19" spans="1:7">
      <c r="A19" s="38" t="s">
        <v>804</v>
      </c>
      <c r="B19" s="34" t="s">
        <v>1921</v>
      </c>
      <c r="C19" s="34" t="s">
        <v>1704</v>
      </c>
      <c r="D19" s="32" t="s">
        <v>1783</v>
      </c>
      <c r="F19" s="157" t="s">
        <v>2316</v>
      </c>
      <c r="G19" s="158" t="s">
        <v>31</v>
      </c>
    </row>
    <row r="20" spans="1:7">
      <c r="A20" s="38" t="s">
        <v>789</v>
      </c>
      <c r="B20" s="32" t="s">
        <v>1907</v>
      </c>
      <c r="C20" s="32" t="s">
        <v>1704</v>
      </c>
      <c r="D20" s="32" t="s">
        <v>1722</v>
      </c>
      <c r="F20" s="157" t="s">
        <v>667</v>
      </c>
      <c r="G20" s="158" t="s">
        <v>39</v>
      </c>
    </row>
    <row r="21" spans="1:7">
      <c r="A21" s="38" t="s">
        <v>729</v>
      </c>
      <c r="B21" s="32" t="s">
        <v>1892</v>
      </c>
      <c r="C21" s="32" t="s">
        <v>1753</v>
      </c>
      <c r="D21" s="32" t="s">
        <v>1707</v>
      </c>
      <c r="F21" s="157" t="s">
        <v>668</v>
      </c>
      <c r="G21" s="158" t="s">
        <v>31</v>
      </c>
    </row>
    <row r="22" spans="1:7">
      <c r="A22" s="37" t="s">
        <v>731</v>
      </c>
      <c r="B22" s="32" t="s">
        <v>1892</v>
      </c>
      <c r="C22" s="32" t="s">
        <v>1753</v>
      </c>
      <c r="D22" s="32" t="s">
        <v>1707</v>
      </c>
      <c r="F22" s="157" t="s">
        <v>670</v>
      </c>
      <c r="G22" s="158" t="s">
        <v>39</v>
      </c>
    </row>
    <row r="23" spans="1:7">
      <c r="A23" s="38" t="s">
        <v>754</v>
      </c>
      <c r="B23" s="32" t="s">
        <v>1719</v>
      </c>
      <c r="C23" s="32" t="s">
        <v>1710</v>
      </c>
      <c r="D23" s="32" t="s">
        <v>1705</v>
      </c>
      <c r="F23" s="157" t="s">
        <v>137</v>
      </c>
      <c r="G23" s="158" t="s">
        <v>40</v>
      </c>
    </row>
    <row r="24" spans="1:7">
      <c r="A24" s="38" t="s">
        <v>755</v>
      </c>
      <c r="B24" s="32" t="s">
        <v>1720</v>
      </c>
      <c r="C24" s="32" t="s">
        <v>1710</v>
      </c>
      <c r="D24" s="32" t="s">
        <v>1707</v>
      </c>
      <c r="F24" s="157" t="s">
        <v>680</v>
      </c>
      <c r="G24" s="158" t="s">
        <v>39</v>
      </c>
    </row>
    <row r="25" spans="1:7">
      <c r="A25" s="127" t="s">
        <v>689</v>
      </c>
      <c r="B25" s="32" t="s">
        <v>1721</v>
      </c>
      <c r="C25" s="32" t="s">
        <v>1704</v>
      </c>
      <c r="D25" s="32" t="s">
        <v>1722</v>
      </c>
      <c r="F25" s="157" t="s">
        <v>688</v>
      </c>
      <c r="G25" s="158" t="s">
        <v>40</v>
      </c>
    </row>
    <row r="26" spans="1:7">
      <c r="A26" s="38" t="s">
        <v>603</v>
      </c>
      <c r="B26" s="32" t="s">
        <v>1723</v>
      </c>
      <c r="C26" s="32" t="s">
        <v>1724</v>
      </c>
      <c r="D26" s="32" t="s">
        <v>1707</v>
      </c>
      <c r="F26" s="157" t="s">
        <v>692</v>
      </c>
      <c r="G26" s="158" t="s">
        <v>1745</v>
      </c>
    </row>
    <row r="27" spans="1:7">
      <c r="A27" s="38" t="s">
        <v>1637</v>
      </c>
      <c r="B27" s="32" t="s">
        <v>2214</v>
      </c>
      <c r="C27" s="32" t="s">
        <v>1724</v>
      </c>
      <c r="D27" s="32" t="s">
        <v>1705</v>
      </c>
      <c r="F27" s="157" t="s">
        <v>697</v>
      </c>
      <c r="G27" s="158" t="s">
        <v>31</v>
      </c>
    </row>
    <row r="28" spans="1:7">
      <c r="A28" s="38" t="s">
        <v>832</v>
      </c>
      <c r="B28" s="32" t="s">
        <v>1945</v>
      </c>
      <c r="C28" s="32" t="s">
        <v>1757</v>
      </c>
      <c r="D28" s="32" t="s">
        <v>1783</v>
      </c>
      <c r="F28" s="157" t="s">
        <v>700</v>
      </c>
      <c r="G28" s="158" t="s">
        <v>1745</v>
      </c>
    </row>
    <row r="29" spans="1:7">
      <c r="A29" s="38" t="s">
        <v>601</v>
      </c>
      <c r="B29" s="34" t="s">
        <v>1725</v>
      </c>
      <c r="C29" s="34" t="s">
        <v>1726</v>
      </c>
      <c r="D29" s="32" t="s">
        <v>1711</v>
      </c>
      <c r="F29" s="157" t="s">
        <v>703</v>
      </c>
      <c r="G29" s="158" t="s">
        <v>1750</v>
      </c>
    </row>
    <row r="30" spans="1:7">
      <c r="A30" s="38" t="s">
        <v>810</v>
      </c>
      <c r="B30" s="34" t="s">
        <v>1926</v>
      </c>
      <c r="C30" s="34" t="s">
        <v>1704</v>
      </c>
      <c r="D30" s="32" t="s">
        <v>1783</v>
      </c>
      <c r="F30" s="157" t="s">
        <v>709</v>
      </c>
      <c r="G30" s="158" t="s">
        <v>31</v>
      </c>
    </row>
    <row r="31" spans="1:7">
      <c r="A31" s="38" t="s">
        <v>790</v>
      </c>
      <c r="B31" s="32" t="s">
        <v>1908</v>
      </c>
      <c r="C31" s="32" t="s">
        <v>1704</v>
      </c>
      <c r="D31" s="32" t="s">
        <v>1783</v>
      </c>
      <c r="F31" s="157" t="s">
        <v>711</v>
      </c>
      <c r="G31" s="158" t="s">
        <v>40</v>
      </c>
    </row>
    <row r="32" spans="1:7">
      <c r="A32" s="38" t="s">
        <v>644</v>
      </c>
      <c r="B32" s="32" t="s">
        <v>1727</v>
      </c>
      <c r="C32" s="32" t="s">
        <v>1704</v>
      </c>
      <c r="D32" s="32" t="s">
        <v>1707</v>
      </c>
      <c r="F32" s="157" t="s">
        <v>715</v>
      </c>
      <c r="G32" s="158" t="s">
        <v>31</v>
      </c>
    </row>
    <row r="33" spans="1:7">
      <c r="A33" s="38" t="s">
        <v>645</v>
      </c>
      <c r="B33" s="32" t="s">
        <v>1728</v>
      </c>
      <c r="C33" s="32" t="s">
        <v>1704</v>
      </c>
      <c r="D33" s="32" t="s">
        <v>1705</v>
      </c>
      <c r="F33" s="157" t="s">
        <v>718</v>
      </c>
      <c r="G33" s="158" t="s">
        <v>1714</v>
      </c>
    </row>
    <row r="34" spans="1:7">
      <c r="A34" s="38" t="s">
        <v>683</v>
      </c>
      <c r="B34" s="32" t="s">
        <v>1729</v>
      </c>
      <c r="C34" s="32" t="s">
        <v>1704</v>
      </c>
      <c r="D34" s="32" t="s">
        <v>1707</v>
      </c>
      <c r="F34" s="157" t="s">
        <v>722</v>
      </c>
      <c r="G34" s="159" t="s">
        <v>31</v>
      </c>
    </row>
    <row r="35" spans="1:7">
      <c r="A35" s="38" t="s">
        <v>847</v>
      </c>
      <c r="B35" s="32" t="s">
        <v>1957</v>
      </c>
      <c r="C35" s="32" t="s">
        <v>1757</v>
      </c>
      <c r="D35" s="32" t="s">
        <v>1783</v>
      </c>
      <c r="F35" s="157" t="s">
        <v>725</v>
      </c>
      <c r="G35" s="159" t="s">
        <v>31</v>
      </c>
    </row>
    <row r="36" spans="1:7">
      <c r="A36" s="38" t="s">
        <v>850</v>
      </c>
      <c r="B36" s="32" t="s">
        <v>1960</v>
      </c>
      <c r="C36" s="32" t="s">
        <v>1757</v>
      </c>
      <c r="D36" s="32" t="s">
        <v>1783</v>
      </c>
      <c r="F36" s="157" t="s">
        <v>2317</v>
      </c>
      <c r="G36" s="159" t="s">
        <v>31</v>
      </c>
    </row>
    <row r="37" spans="1:7">
      <c r="A37" s="38" t="s">
        <v>1730</v>
      </c>
      <c r="B37" s="32" t="s">
        <v>1731</v>
      </c>
      <c r="C37" s="32" t="s">
        <v>1710</v>
      </c>
      <c r="D37" s="32" t="s">
        <v>1707</v>
      </c>
      <c r="F37" s="157" t="s">
        <v>726</v>
      </c>
      <c r="G37" s="159" t="s">
        <v>31</v>
      </c>
    </row>
    <row r="38" spans="1:7">
      <c r="A38" s="38" t="s">
        <v>1732</v>
      </c>
      <c r="B38" s="32" t="s">
        <v>1733</v>
      </c>
      <c r="C38" s="32" t="s">
        <v>1710</v>
      </c>
      <c r="D38" s="32" t="s">
        <v>1705</v>
      </c>
      <c r="F38" s="157" t="s">
        <v>728</v>
      </c>
      <c r="G38" s="159" t="s">
        <v>1718</v>
      </c>
    </row>
    <row r="39" spans="1:7">
      <c r="A39" s="38" t="s">
        <v>1734</v>
      </c>
      <c r="B39" s="32" t="s">
        <v>1735</v>
      </c>
      <c r="C39" s="32" t="s">
        <v>1710</v>
      </c>
      <c r="D39" s="32" t="s">
        <v>1711</v>
      </c>
      <c r="F39" s="157" t="s">
        <v>2318</v>
      </c>
      <c r="G39" s="159" t="s">
        <v>31</v>
      </c>
    </row>
    <row r="40" spans="1:7">
      <c r="A40" s="38" t="s">
        <v>1736</v>
      </c>
      <c r="B40" s="32" t="s">
        <v>1737</v>
      </c>
      <c r="C40" s="32" t="s">
        <v>1710</v>
      </c>
      <c r="D40" s="32" t="s">
        <v>1711</v>
      </c>
      <c r="F40" s="157" t="s">
        <v>730</v>
      </c>
      <c r="G40" s="159" t="s">
        <v>40</v>
      </c>
    </row>
    <row r="41" spans="1:7">
      <c r="A41" s="38" t="s">
        <v>772</v>
      </c>
      <c r="B41" s="32" t="s">
        <v>1738</v>
      </c>
      <c r="C41" s="32" t="s">
        <v>1710</v>
      </c>
      <c r="D41" s="32" t="s">
        <v>1711</v>
      </c>
      <c r="F41" s="157" t="s">
        <v>2319</v>
      </c>
      <c r="G41" s="157" t="s">
        <v>40</v>
      </c>
    </row>
    <row r="42" spans="1:7">
      <c r="A42" s="38" t="s">
        <v>1739</v>
      </c>
      <c r="B42" s="32" t="s">
        <v>1740</v>
      </c>
      <c r="C42" s="32" t="s">
        <v>1710</v>
      </c>
      <c r="D42" s="32" t="s">
        <v>1707</v>
      </c>
      <c r="F42" s="157" t="s">
        <v>770</v>
      </c>
      <c r="G42" s="157" t="s">
        <v>39</v>
      </c>
    </row>
    <row r="43" spans="1:7">
      <c r="A43" s="38" t="s">
        <v>591</v>
      </c>
      <c r="B43" s="32" t="s">
        <v>1741</v>
      </c>
      <c r="C43" s="32" t="s">
        <v>1742</v>
      </c>
      <c r="D43" s="32" t="s">
        <v>1707</v>
      </c>
      <c r="F43" s="157" t="s">
        <v>857</v>
      </c>
      <c r="G43" s="159" t="s">
        <v>1718</v>
      </c>
    </row>
    <row r="44" spans="1:7">
      <c r="A44" s="38" t="s">
        <v>616</v>
      </c>
      <c r="B44" s="34" t="s">
        <v>1885</v>
      </c>
      <c r="C44" s="34" t="s">
        <v>1704</v>
      </c>
      <c r="D44" s="32" t="s">
        <v>1722</v>
      </c>
      <c r="F44" s="155"/>
      <c r="G44" s="155"/>
    </row>
    <row r="45" spans="1:7">
      <c r="A45" s="38" t="s">
        <v>1341</v>
      </c>
      <c r="B45" s="32" t="s">
        <v>1744</v>
      </c>
      <c r="C45" s="32" t="s">
        <v>1724</v>
      </c>
      <c r="D45" s="32" t="s">
        <v>1711</v>
      </c>
      <c r="F45" s="155"/>
      <c r="G45" s="155"/>
    </row>
    <row r="46" spans="1:7">
      <c r="A46" s="38" t="s">
        <v>698</v>
      </c>
      <c r="B46" s="32" t="s">
        <v>1746</v>
      </c>
      <c r="C46" s="32" t="s">
        <v>1704</v>
      </c>
      <c r="D46" s="32" t="s">
        <v>1705</v>
      </c>
      <c r="F46" s="155"/>
      <c r="G46" s="155"/>
    </row>
    <row r="47" spans="1:7">
      <c r="A47" s="38" t="s">
        <v>856</v>
      </c>
      <c r="B47" s="34" t="s">
        <v>1965</v>
      </c>
      <c r="C47" s="34" t="s">
        <v>1757</v>
      </c>
      <c r="D47" s="32" t="s">
        <v>1783</v>
      </c>
      <c r="F47" s="155"/>
      <c r="G47" s="155"/>
    </row>
    <row r="48" spans="1:7">
      <c r="A48" s="128" t="s">
        <v>664</v>
      </c>
      <c r="B48" s="34" t="s">
        <v>2215</v>
      </c>
      <c r="C48" s="34" t="s">
        <v>1724</v>
      </c>
      <c r="D48" s="32" t="s">
        <v>1783</v>
      </c>
      <c r="F48" s="155"/>
      <c r="G48" s="155"/>
    </row>
    <row r="49" spans="1:7">
      <c r="A49" s="38" t="s">
        <v>1747</v>
      </c>
      <c r="B49" s="32" t="s">
        <v>1748</v>
      </c>
      <c r="C49" s="32" t="s">
        <v>1710</v>
      </c>
      <c r="D49" s="32" t="s">
        <v>1711</v>
      </c>
      <c r="F49" s="155"/>
      <c r="G49" s="155"/>
    </row>
    <row r="50" spans="1:7">
      <c r="A50" s="38" t="s">
        <v>854</v>
      </c>
      <c r="B50" s="34" t="s">
        <v>1963</v>
      </c>
      <c r="C50" s="34" t="s">
        <v>1757</v>
      </c>
      <c r="D50" s="32" t="s">
        <v>1783</v>
      </c>
      <c r="F50" s="155"/>
      <c r="G50" s="155"/>
    </row>
    <row r="51" spans="1:7">
      <c r="A51" s="38" t="s">
        <v>787</v>
      </c>
      <c r="B51" s="32" t="s">
        <v>1905</v>
      </c>
      <c r="C51" s="32" t="s">
        <v>1704</v>
      </c>
      <c r="D51" s="32" t="s">
        <v>1783</v>
      </c>
      <c r="F51" s="155"/>
      <c r="G51" s="155"/>
    </row>
    <row r="52" spans="1:7">
      <c r="A52" s="40" t="s">
        <v>598</v>
      </c>
      <c r="B52" s="34" t="s">
        <v>1749</v>
      </c>
      <c r="C52" s="34" t="s">
        <v>1742</v>
      </c>
      <c r="D52" s="32" t="s">
        <v>1722</v>
      </c>
      <c r="F52" s="155"/>
      <c r="G52" s="155"/>
    </row>
    <row r="53" spans="1:7">
      <c r="A53" s="38" t="s">
        <v>794</v>
      </c>
      <c r="B53" s="34" t="s">
        <v>1912</v>
      </c>
      <c r="C53" s="34" t="s">
        <v>1704</v>
      </c>
      <c r="D53" s="32" t="s">
        <v>1783</v>
      </c>
      <c r="F53" s="155"/>
      <c r="G53" s="155"/>
    </row>
    <row r="54" spans="1:7">
      <c r="A54" s="38" t="s">
        <v>671</v>
      </c>
      <c r="B54" s="32" t="s">
        <v>2222</v>
      </c>
      <c r="C54" s="32" t="s">
        <v>1724</v>
      </c>
      <c r="D54" s="32" t="s">
        <v>1707</v>
      </c>
      <c r="F54" s="155"/>
      <c r="G54" s="155"/>
    </row>
    <row r="55" spans="1:7">
      <c r="A55" s="38" t="s">
        <v>713</v>
      </c>
      <c r="B55" s="32" t="s">
        <v>1985</v>
      </c>
      <c r="C55" s="32" t="s">
        <v>1704</v>
      </c>
      <c r="D55" s="32" t="s">
        <v>1722</v>
      </c>
      <c r="F55" s="155"/>
      <c r="G55" s="155"/>
    </row>
    <row r="56" spans="1:7">
      <c r="A56" s="38" t="s">
        <v>679</v>
      </c>
      <c r="B56" s="32" t="s">
        <v>1751</v>
      </c>
      <c r="C56" s="32" t="s">
        <v>1704</v>
      </c>
      <c r="D56" s="32" t="s">
        <v>1707</v>
      </c>
      <c r="F56" s="155"/>
      <c r="G56" s="155"/>
    </row>
    <row r="57" spans="1:7">
      <c r="A57" s="37" t="s">
        <v>686</v>
      </c>
      <c r="B57" s="32" t="s">
        <v>1893</v>
      </c>
      <c r="C57" s="32" t="s">
        <v>1704</v>
      </c>
      <c r="D57" s="32" t="s">
        <v>1783</v>
      </c>
      <c r="F57" s="155"/>
      <c r="G57" s="155"/>
    </row>
    <row r="58" spans="1:7">
      <c r="A58" s="38" t="s">
        <v>813</v>
      </c>
      <c r="B58" s="34" t="s">
        <v>1929</v>
      </c>
      <c r="C58" s="34" t="s">
        <v>1704</v>
      </c>
      <c r="D58" s="32" t="s">
        <v>1783</v>
      </c>
      <c r="F58" s="155"/>
      <c r="G58" s="155"/>
    </row>
    <row r="59" spans="1:7">
      <c r="A59" s="38" t="s">
        <v>696</v>
      </c>
      <c r="B59" s="32" t="s">
        <v>1752</v>
      </c>
      <c r="C59" s="32" t="s">
        <v>1753</v>
      </c>
      <c r="D59" s="32" t="s">
        <v>1707</v>
      </c>
      <c r="F59" s="155"/>
      <c r="G59" s="155"/>
    </row>
    <row r="60" spans="1:7">
      <c r="A60" s="38" t="s">
        <v>732</v>
      </c>
      <c r="B60" s="32" t="s">
        <v>1892</v>
      </c>
      <c r="C60" s="32" t="s">
        <v>1753</v>
      </c>
      <c r="D60" s="32" t="s">
        <v>1707</v>
      </c>
      <c r="F60" s="155"/>
      <c r="G60" s="155"/>
    </row>
    <row r="61" spans="1:7">
      <c r="A61" s="127" t="s">
        <v>719</v>
      </c>
      <c r="B61" s="34" t="s">
        <v>1886</v>
      </c>
      <c r="C61" s="34" t="s">
        <v>1704</v>
      </c>
      <c r="D61" s="32" t="s">
        <v>1783</v>
      </c>
      <c r="F61" s="155"/>
      <c r="G61" s="155"/>
    </row>
    <row r="62" spans="1:7">
      <c r="A62" s="38" t="s">
        <v>1321</v>
      </c>
      <c r="B62" s="32" t="s">
        <v>1754</v>
      </c>
      <c r="C62" s="32" t="s">
        <v>1724</v>
      </c>
      <c r="D62" s="32" t="s">
        <v>1707</v>
      </c>
      <c r="F62" s="155"/>
      <c r="G62" s="155"/>
    </row>
    <row r="63" spans="1:7">
      <c r="A63" s="38" t="s">
        <v>723</v>
      </c>
      <c r="B63" s="32" t="s">
        <v>1990</v>
      </c>
      <c r="C63" s="32" t="s">
        <v>1724</v>
      </c>
      <c r="D63" s="32" t="s">
        <v>1783</v>
      </c>
      <c r="F63" s="155"/>
      <c r="G63" s="155"/>
    </row>
    <row r="64" spans="1:7">
      <c r="A64" s="38" t="s">
        <v>654</v>
      </c>
      <c r="B64" s="32" t="s">
        <v>1988</v>
      </c>
      <c r="C64" s="32" t="s">
        <v>1704</v>
      </c>
      <c r="D64" s="32" t="s">
        <v>1783</v>
      </c>
      <c r="F64" s="155"/>
      <c r="G64" s="155"/>
    </row>
    <row r="65" spans="1:7">
      <c r="A65" s="38" t="s">
        <v>1551</v>
      </c>
      <c r="B65" s="32" t="s">
        <v>1755</v>
      </c>
      <c r="C65" s="32" t="s">
        <v>1726</v>
      </c>
      <c r="D65" s="32" t="s">
        <v>1707</v>
      </c>
      <c r="F65" s="155"/>
      <c r="G65" s="155"/>
    </row>
    <row r="66" spans="1:7">
      <c r="A66" s="38" t="s">
        <v>816</v>
      </c>
      <c r="B66" s="34" t="s">
        <v>1932</v>
      </c>
      <c r="C66" s="34" t="s">
        <v>1757</v>
      </c>
      <c r="D66" s="32" t="s">
        <v>1783</v>
      </c>
      <c r="F66" s="155"/>
      <c r="G66" s="155"/>
    </row>
    <row r="67" spans="1:7">
      <c r="A67" s="38" t="s">
        <v>817</v>
      </c>
      <c r="B67" s="34" t="s">
        <v>1933</v>
      </c>
      <c r="C67" s="34" t="s">
        <v>1757</v>
      </c>
      <c r="D67" s="32" t="s">
        <v>1783</v>
      </c>
      <c r="F67" s="155"/>
      <c r="G67" s="155"/>
    </row>
    <row r="68" spans="1:7">
      <c r="A68" s="37" t="s">
        <v>658</v>
      </c>
      <c r="B68" s="34" t="s">
        <v>1981</v>
      </c>
      <c r="C68" s="34" t="s">
        <v>1724</v>
      </c>
      <c r="D68" s="32" t="s">
        <v>1783</v>
      </c>
      <c r="F68" s="155"/>
      <c r="G68" s="155"/>
    </row>
    <row r="69" spans="1:7">
      <c r="A69" s="128" t="s">
        <v>740</v>
      </c>
      <c r="B69" s="34" t="s">
        <v>1786</v>
      </c>
      <c r="C69" s="34" t="s">
        <v>1742</v>
      </c>
      <c r="D69" s="32" t="s">
        <v>1707</v>
      </c>
      <c r="F69" s="155"/>
      <c r="G69" s="155"/>
    </row>
    <row r="70" spans="1:7">
      <c r="A70" s="128" t="s">
        <v>767</v>
      </c>
      <c r="B70" s="34" t="s">
        <v>1974</v>
      </c>
      <c r="C70" s="34" t="s">
        <v>1704</v>
      </c>
      <c r="D70" s="32" t="s">
        <v>1975</v>
      </c>
      <c r="F70" s="155"/>
      <c r="G70" s="155"/>
    </row>
    <row r="71" spans="1:7">
      <c r="A71" s="38" t="s">
        <v>1135</v>
      </c>
      <c r="B71" s="32" t="s">
        <v>1756</v>
      </c>
      <c r="C71" s="32" t="s">
        <v>1704</v>
      </c>
      <c r="D71" s="32" t="s">
        <v>1707</v>
      </c>
      <c r="F71" s="155"/>
      <c r="G71" s="155"/>
    </row>
    <row r="72" spans="1:7">
      <c r="A72" s="127" t="s">
        <v>768</v>
      </c>
      <c r="B72" s="34" t="s">
        <v>1976</v>
      </c>
      <c r="C72" s="34" t="s">
        <v>1704</v>
      </c>
      <c r="D72" s="32" t="s">
        <v>1975</v>
      </c>
      <c r="F72" s="155"/>
      <c r="G72" s="155"/>
    </row>
    <row r="73" spans="1:7">
      <c r="A73" s="38" t="s">
        <v>812</v>
      </c>
      <c r="B73" s="34" t="s">
        <v>1928</v>
      </c>
      <c r="C73" s="34" t="s">
        <v>1704</v>
      </c>
      <c r="D73" s="32" t="s">
        <v>1783</v>
      </c>
      <c r="F73" s="155"/>
      <c r="G73" s="155"/>
    </row>
    <row r="74" spans="1:7">
      <c r="A74" s="38" t="s">
        <v>619</v>
      </c>
      <c r="B74" s="32" t="s">
        <v>2290</v>
      </c>
      <c r="C74" s="32" t="s">
        <v>1757</v>
      </c>
      <c r="D74" s="32" t="s">
        <v>1707</v>
      </c>
      <c r="F74" s="155"/>
      <c r="G74" s="155"/>
    </row>
    <row r="75" spans="1:7">
      <c r="A75" s="38" t="s">
        <v>837</v>
      </c>
      <c r="B75" s="32" t="s">
        <v>1949</v>
      </c>
      <c r="C75" s="32" t="s">
        <v>1757</v>
      </c>
      <c r="D75" s="32" t="s">
        <v>1783</v>
      </c>
      <c r="F75" s="155"/>
      <c r="G75" s="155"/>
    </row>
    <row r="76" spans="1:7">
      <c r="A76" s="38" t="s">
        <v>653</v>
      </c>
      <c r="B76" s="32" t="s">
        <v>1758</v>
      </c>
      <c r="C76" s="32" t="s">
        <v>1757</v>
      </c>
      <c r="D76" s="32" t="s">
        <v>1711</v>
      </c>
      <c r="F76" s="155"/>
      <c r="G76" s="155"/>
    </row>
    <row r="77" spans="1:7">
      <c r="A77" s="38" t="s">
        <v>742</v>
      </c>
      <c r="B77" s="32" t="s">
        <v>1759</v>
      </c>
      <c r="C77" s="32" t="s">
        <v>1757</v>
      </c>
      <c r="D77" s="32" t="s">
        <v>1707</v>
      </c>
      <c r="F77" s="155"/>
      <c r="G77" s="155"/>
    </row>
    <row r="78" spans="1:7">
      <c r="A78" s="38" t="s">
        <v>743</v>
      </c>
      <c r="B78" s="32" t="s">
        <v>1760</v>
      </c>
      <c r="C78" s="32" t="s">
        <v>1757</v>
      </c>
      <c r="D78" s="32" t="s">
        <v>1707</v>
      </c>
      <c r="F78" s="155"/>
      <c r="G78" s="155"/>
    </row>
    <row r="79" spans="1:7">
      <c r="A79" s="38" t="s">
        <v>739</v>
      </c>
      <c r="B79" s="32" t="s">
        <v>1761</v>
      </c>
      <c r="C79" s="32" t="s">
        <v>1742</v>
      </c>
      <c r="D79" s="32" t="s">
        <v>1705</v>
      </c>
      <c r="F79" s="155"/>
      <c r="G79" s="155"/>
    </row>
    <row r="80" spans="1:7">
      <c r="A80" s="38" t="s">
        <v>599</v>
      </c>
      <c r="B80" s="32" t="s">
        <v>1762</v>
      </c>
      <c r="C80" s="32" t="s">
        <v>1724</v>
      </c>
      <c r="D80" s="32" t="s">
        <v>1705</v>
      </c>
      <c r="F80" s="155"/>
      <c r="G80" s="155"/>
    </row>
    <row r="81" spans="1:7">
      <c r="A81" s="38" t="s">
        <v>652</v>
      </c>
      <c r="B81" s="32" t="s">
        <v>1987</v>
      </c>
      <c r="C81" s="32" t="s">
        <v>1704</v>
      </c>
      <c r="D81" s="32" t="s">
        <v>1783</v>
      </c>
      <c r="F81" s="155"/>
      <c r="G81" s="155"/>
    </row>
    <row r="82" spans="1:7">
      <c r="A82" s="128" t="s">
        <v>736</v>
      </c>
      <c r="B82" s="32" t="s">
        <v>1966</v>
      </c>
      <c r="C82" s="32" t="s">
        <v>1753</v>
      </c>
      <c r="D82" s="32" t="s">
        <v>1967</v>
      </c>
      <c r="F82" s="155"/>
      <c r="G82" s="155"/>
    </row>
    <row r="83" spans="1:7">
      <c r="A83" s="38" t="s">
        <v>1264</v>
      </c>
      <c r="B83" s="32" t="s">
        <v>1763</v>
      </c>
      <c r="C83" s="32" t="s">
        <v>1704</v>
      </c>
      <c r="D83" s="32" t="s">
        <v>1707</v>
      </c>
      <c r="F83" s="155"/>
      <c r="G83" s="155"/>
    </row>
    <row r="84" spans="1:7">
      <c r="A84" s="38" t="s">
        <v>806</v>
      </c>
      <c r="B84" s="32" t="s">
        <v>1923</v>
      </c>
      <c r="C84" s="32" t="s">
        <v>1704</v>
      </c>
      <c r="D84" s="32" t="s">
        <v>1783</v>
      </c>
      <c r="F84" s="155"/>
      <c r="G84" s="155"/>
    </row>
    <row r="85" spans="1:7">
      <c r="A85" s="38" t="s">
        <v>1764</v>
      </c>
      <c r="B85" s="32" t="s">
        <v>1765</v>
      </c>
      <c r="C85" s="32" t="s">
        <v>1710</v>
      </c>
      <c r="D85" s="32" t="s">
        <v>1711</v>
      </c>
      <c r="F85" s="155"/>
      <c r="G85" s="155"/>
    </row>
    <row r="86" spans="1:7">
      <c r="A86" s="38" t="s">
        <v>649</v>
      </c>
      <c r="B86" s="32" t="s">
        <v>1766</v>
      </c>
      <c r="C86" s="32" t="s">
        <v>1757</v>
      </c>
      <c r="D86" s="32" t="s">
        <v>1705</v>
      </c>
      <c r="F86" s="155"/>
      <c r="G86" s="155"/>
    </row>
    <row r="87" spans="1:7">
      <c r="A87" s="38" t="s">
        <v>845</v>
      </c>
      <c r="B87" s="32" t="s">
        <v>1956</v>
      </c>
      <c r="C87" s="32" t="s">
        <v>1757</v>
      </c>
      <c r="D87" s="32" t="s">
        <v>1875</v>
      </c>
      <c r="F87" s="155"/>
      <c r="G87" s="155"/>
    </row>
    <row r="88" spans="1:7">
      <c r="A88" s="38" t="s">
        <v>1695</v>
      </c>
      <c r="B88" s="32" t="s">
        <v>1767</v>
      </c>
      <c r="C88" s="32" t="s">
        <v>1704</v>
      </c>
      <c r="D88" s="32" t="s">
        <v>1711</v>
      </c>
      <c r="F88" s="155"/>
      <c r="G88" s="155"/>
    </row>
    <row r="89" spans="1:7">
      <c r="A89" s="38" t="s">
        <v>753</v>
      </c>
      <c r="B89" s="32" t="s">
        <v>1768</v>
      </c>
      <c r="C89" s="32" t="s">
        <v>1710</v>
      </c>
      <c r="D89" s="32" t="s">
        <v>1711</v>
      </c>
      <c r="F89" s="155"/>
      <c r="G89" s="155"/>
    </row>
    <row r="90" spans="1:7">
      <c r="A90" s="38" t="s">
        <v>788</v>
      </c>
      <c r="B90" s="32" t="s">
        <v>1906</v>
      </c>
      <c r="C90" s="32" t="s">
        <v>1704</v>
      </c>
      <c r="D90" s="32" t="s">
        <v>1783</v>
      </c>
      <c r="F90" s="155"/>
      <c r="G90" s="155"/>
    </row>
    <row r="91" spans="1:7">
      <c r="A91" s="38" t="s">
        <v>833</v>
      </c>
      <c r="B91" s="32" t="s">
        <v>1946</v>
      </c>
      <c r="C91" s="32" t="s">
        <v>1757</v>
      </c>
      <c r="D91" s="32" t="s">
        <v>1783</v>
      </c>
      <c r="F91" s="155"/>
      <c r="G91" s="155"/>
    </row>
    <row r="92" spans="1:7">
      <c r="A92" s="38" t="s">
        <v>1266</v>
      </c>
      <c r="B92" s="32" t="s">
        <v>1769</v>
      </c>
      <c r="C92" s="32" t="s">
        <v>1704</v>
      </c>
      <c r="D92" s="32" t="s">
        <v>1707</v>
      </c>
      <c r="F92" s="155"/>
      <c r="G92" s="155"/>
    </row>
    <row r="93" spans="1:7">
      <c r="A93" s="38" t="s">
        <v>630</v>
      </c>
      <c r="B93" s="32" t="s">
        <v>1770</v>
      </c>
      <c r="C93" s="32" t="s">
        <v>1724</v>
      </c>
      <c r="D93" s="32" t="s">
        <v>1707</v>
      </c>
      <c r="F93" s="155"/>
      <c r="G93" s="155"/>
    </row>
    <row r="94" spans="1:7">
      <c r="A94" s="38" t="s">
        <v>714</v>
      </c>
      <c r="B94" s="32" t="s">
        <v>1771</v>
      </c>
      <c r="C94" s="32" t="s">
        <v>1704</v>
      </c>
      <c r="D94" s="32" t="s">
        <v>1707</v>
      </c>
      <c r="F94" s="155"/>
      <c r="G94" s="155"/>
    </row>
    <row r="95" spans="1:7">
      <c r="A95" s="37" t="s">
        <v>762</v>
      </c>
      <c r="B95" s="34" t="s">
        <v>1973</v>
      </c>
      <c r="C95" s="34" t="s">
        <v>1757</v>
      </c>
      <c r="D95" s="32" t="s">
        <v>1707</v>
      </c>
      <c r="F95" s="155"/>
      <c r="G95" s="155"/>
    </row>
    <row r="96" spans="1:7">
      <c r="A96" s="38" t="s">
        <v>763</v>
      </c>
      <c r="B96" s="32" t="s">
        <v>1772</v>
      </c>
      <c r="C96" s="32" t="s">
        <v>1757</v>
      </c>
      <c r="D96" s="32" t="s">
        <v>1707</v>
      </c>
      <c r="F96" s="155"/>
      <c r="G96" s="155"/>
    </row>
    <row r="97" spans="1:7">
      <c r="A97" s="38" t="s">
        <v>1407</v>
      </c>
      <c r="B97" s="32" t="s">
        <v>1773</v>
      </c>
      <c r="C97" s="32" t="s">
        <v>1726</v>
      </c>
      <c r="D97" s="32" t="s">
        <v>1705</v>
      </c>
      <c r="F97" s="155"/>
      <c r="G97" s="155"/>
    </row>
    <row r="98" spans="1:7">
      <c r="A98" s="38" t="s">
        <v>1669</v>
      </c>
      <c r="B98" s="32" t="s">
        <v>1774</v>
      </c>
      <c r="C98" s="32" t="s">
        <v>1742</v>
      </c>
      <c r="D98" s="32" t="s">
        <v>1707</v>
      </c>
      <c r="F98" s="155"/>
      <c r="G98" s="155"/>
    </row>
    <row r="99" spans="1:7">
      <c r="A99" s="38" t="s">
        <v>783</v>
      </c>
      <c r="B99" s="33" t="s">
        <v>1901</v>
      </c>
      <c r="C99" s="32" t="s">
        <v>1724</v>
      </c>
      <c r="D99" s="32" t="s">
        <v>1878</v>
      </c>
      <c r="F99" s="155"/>
      <c r="G99" s="155"/>
    </row>
    <row r="100" spans="1:7">
      <c r="A100" s="128" t="s">
        <v>752</v>
      </c>
      <c r="B100" s="32" t="s">
        <v>1972</v>
      </c>
      <c r="C100" s="32" t="s">
        <v>1710</v>
      </c>
      <c r="D100" s="32" t="s">
        <v>1707</v>
      </c>
      <c r="F100" s="155"/>
      <c r="G100" s="155"/>
    </row>
    <row r="101" spans="1:7">
      <c r="A101" s="38" t="s">
        <v>1775</v>
      </c>
      <c r="B101" s="32" t="s">
        <v>1776</v>
      </c>
      <c r="C101" s="32" t="s">
        <v>1757</v>
      </c>
      <c r="D101" s="32" t="s">
        <v>1705</v>
      </c>
      <c r="F101" s="155"/>
      <c r="G101" s="155"/>
    </row>
    <row r="102" spans="1:7">
      <c r="A102" s="38" t="s">
        <v>749</v>
      </c>
      <c r="B102" s="32" t="s">
        <v>2216</v>
      </c>
      <c r="C102" s="32" t="s">
        <v>1757</v>
      </c>
      <c r="D102" s="32" t="s">
        <v>1707</v>
      </c>
      <c r="F102" s="155"/>
      <c r="G102" s="155"/>
    </row>
    <row r="103" spans="1:7">
      <c r="A103" s="128" t="s">
        <v>737</v>
      </c>
      <c r="B103" s="32" t="s">
        <v>1968</v>
      </c>
      <c r="C103" s="32" t="s">
        <v>1792</v>
      </c>
      <c r="D103" s="32" t="s">
        <v>1967</v>
      </c>
      <c r="F103" s="155"/>
      <c r="G103" s="155"/>
    </row>
    <row r="104" spans="1:7">
      <c r="A104" s="38" t="s">
        <v>842</v>
      </c>
      <c r="B104" s="34" t="s">
        <v>1953</v>
      </c>
      <c r="C104" s="34" t="s">
        <v>1757</v>
      </c>
      <c r="D104" s="32" t="s">
        <v>1783</v>
      </c>
      <c r="F104" s="155"/>
      <c r="G104" s="155"/>
    </row>
    <row r="105" spans="1:7">
      <c r="A105" s="38" t="s">
        <v>624</v>
      </c>
      <c r="B105" s="32" t="s">
        <v>1874</v>
      </c>
      <c r="C105" s="32" t="s">
        <v>1804</v>
      </c>
      <c r="D105" s="32" t="s">
        <v>1875</v>
      </c>
      <c r="F105" s="155"/>
      <c r="G105" s="155"/>
    </row>
    <row r="106" spans="1:7">
      <c r="A106" s="38" t="s">
        <v>1236</v>
      </c>
      <c r="B106" s="32" t="s">
        <v>1777</v>
      </c>
      <c r="C106" s="32" t="s">
        <v>1704</v>
      </c>
      <c r="D106" s="32" t="s">
        <v>1705</v>
      </c>
      <c r="F106" s="155"/>
      <c r="G106" s="155"/>
    </row>
    <row r="107" spans="1:7">
      <c r="A107" s="127" t="s">
        <v>681</v>
      </c>
      <c r="B107" s="34" t="s">
        <v>1877</v>
      </c>
      <c r="C107" s="34" t="s">
        <v>1704</v>
      </c>
      <c r="D107" s="32" t="s">
        <v>1878</v>
      </c>
      <c r="F107" s="155"/>
      <c r="G107" s="155"/>
    </row>
    <row r="108" spans="1:7">
      <c r="A108" s="38" t="s">
        <v>795</v>
      </c>
      <c r="B108" s="32" t="s">
        <v>1913</v>
      </c>
      <c r="C108" s="34" t="s">
        <v>1704</v>
      </c>
      <c r="D108" s="32" t="s">
        <v>1783</v>
      </c>
      <c r="F108" s="155"/>
      <c r="G108" s="155"/>
    </row>
    <row r="109" spans="1:7">
      <c r="A109" s="38" t="s">
        <v>620</v>
      </c>
      <c r="B109" s="32" t="s">
        <v>1778</v>
      </c>
      <c r="C109" s="32" t="s">
        <v>1724</v>
      </c>
      <c r="D109" s="32" t="s">
        <v>1705</v>
      </c>
      <c r="F109" s="155"/>
      <c r="G109" s="155"/>
    </row>
    <row r="110" spans="1:7">
      <c r="A110" s="38" t="s">
        <v>637</v>
      </c>
      <c r="B110" s="32" t="s">
        <v>1779</v>
      </c>
      <c r="C110" s="32" t="s">
        <v>1724</v>
      </c>
      <c r="D110" s="32" t="s">
        <v>1707</v>
      </c>
      <c r="F110" s="155"/>
      <c r="G110" s="155"/>
    </row>
    <row r="111" spans="1:7">
      <c r="A111" s="38" t="s">
        <v>1317</v>
      </c>
      <c r="B111" s="32" t="s">
        <v>1780</v>
      </c>
      <c r="C111" s="32" t="s">
        <v>1724</v>
      </c>
      <c r="D111" s="32" t="s">
        <v>1707</v>
      </c>
      <c r="F111" s="155"/>
      <c r="G111" s="155"/>
    </row>
    <row r="112" spans="1:7">
      <c r="A112" s="131" t="s">
        <v>249</v>
      </c>
      <c r="B112" s="134" t="s">
        <v>1781</v>
      </c>
      <c r="C112" s="134" t="s">
        <v>1724</v>
      </c>
      <c r="D112" s="134" t="s">
        <v>1707</v>
      </c>
      <c r="F112" s="155"/>
      <c r="G112" s="155"/>
    </row>
    <row r="113" spans="1:7">
      <c r="A113" s="131" t="s">
        <v>608</v>
      </c>
      <c r="B113" s="135" t="s">
        <v>1782</v>
      </c>
      <c r="C113" s="135" t="s">
        <v>1724</v>
      </c>
      <c r="D113" s="134" t="s">
        <v>1783</v>
      </c>
      <c r="F113" s="155"/>
      <c r="G113" s="155"/>
    </row>
    <row r="114" spans="1:7">
      <c r="A114" s="131" t="s">
        <v>635</v>
      </c>
      <c r="B114" s="134" t="s">
        <v>1784</v>
      </c>
      <c r="C114" s="134" t="s">
        <v>1724</v>
      </c>
      <c r="D114" s="134" t="s">
        <v>1705</v>
      </c>
      <c r="F114" s="155"/>
      <c r="G114" s="155"/>
    </row>
    <row r="115" spans="1:7">
      <c r="A115" s="131" t="s">
        <v>690</v>
      </c>
      <c r="B115" s="134" t="s">
        <v>1785</v>
      </c>
      <c r="C115" s="134" t="s">
        <v>1724</v>
      </c>
      <c r="D115" s="134" t="s">
        <v>1707</v>
      </c>
      <c r="F115" s="155"/>
      <c r="G115" s="155"/>
    </row>
    <row r="116" spans="1:7">
      <c r="A116" s="131" t="s">
        <v>738</v>
      </c>
      <c r="B116" s="134" t="s">
        <v>1786</v>
      </c>
      <c r="C116" s="134" t="s">
        <v>1742</v>
      </c>
      <c r="D116" s="134" t="s">
        <v>1707</v>
      </c>
      <c r="F116" s="155"/>
      <c r="G116" s="155"/>
    </row>
    <row r="117" spans="1:7">
      <c r="A117" s="131" t="s">
        <v>684</v>
      </c>
      <c r="B117" s="134" t="s">
        <v>1787</v>
      </c>
      <c r="C117" s="134" t="s">
        <v>1704</v>
      </c>
      <c r="D117" s="134" t="s">
        <v>1705</v>
      </c>
      <c r="F117" s="155"/>
      <c r="G117" s="155"/>
    </row>
    <row r="118" spans="1:7">
      <c r="A118" s="131" t="s">
        <v>1671</v>
      </c>
      <c r="B118" s="134" t="s">
        <v>1788</v>
      </c>
      <c r="C118" s="134" t="s">
        <v>1742</v>
      </c>
      <c r="D118" s="134" t="s">
        <v>1707</v>
      </c>
      <c r="F118" s="155"/>
      <c r="G118" s="155"/>
    </row>
    <row r="119" spans="1:7">
      <c r="A119" s="131" t="s">
        <v>782</v>
      </c>
      <c r="B119" s="134" t="s">
        <v>1900</v>
      </c>
      <c r="C119" s="134" t="s">
        <v>1724</v>
      </c>
      <c r="D119" s="134" t="s">
        <v>1878</v>
      </c>
      <c r="F119" s="155"/>
      <c r="G119" s="155"/>
    </row>
    <row r="120" spans="1:7">
      <c r="A120" s="132" t="s">
        <v>606</v>
      </c>
      <c r="B120" s="134" t="s">
        <v>1977</v>
      </c>
      <c r="C120" s="134" t="s">
        <v>1724</v>
      </c>
      <c r="D120" s="134" t="s">
        <v>1783</v>
      </c>
      <c r="F120" s="155"/>
      <c r="G120" s="155"/>
    </row>
    <row r="121" spans="1:7">
      <c r="A121" s="131" t="s">
        <v>734</v>
      </c>
      <c r="B121" s="134" t="s">
        <v>1892</v>
      </c>
      <c r="C121" s="134" t="s">
        <v>1753</v>
      </c>
      <c r="D121" s="134" t="s">
        <v>1707</v>
      </c>
      <c r="F121" s="155"/>
      <c r="G121" s="155"/>
    </row>
    <row r="122" spans="1:7">
      <c r="A122" s="131" t="s">
        <v>744</v>
      </c>
      <c r="B122" s="134" t="s">
        <v>1789</v>
      </c>
      <c r="C122" s="134" t="s">
        <v>1757</v>
      </c>
      <c r="D122" s="134" t="s">
        <v>1707</v>
      </c>
      <c r="F122" s="155"/>
      <c r="G122" s="155"/>
    </row>
    <row r="123" spans="1:7">
      <c r="A123" s="131" t="s">
        <v>841</v>
      </c>
      <c r="B123" s="134" t="s">
        <v>1952</v>
      </c>
      <c r="C123" s="134" t="s">
        <v>1757</v>
      </c>
      <c r="D123" s="134" t="s">
        <v>1783</v>
      </c>
      <c r="F123" s="155"/>
      <c r="G123" s="155"/>
    </row>
    <row r="124" spans="1:7">
      <c r="A124" s="131" t="s">
        <v>735</v>
      </c>
      <c r="B124" s="134" t="s">
        <v>2293</v>
      </c>
      <c r="C124" s="134" t="s">
        <v>1753</v>
      </c>
      <c r="D124" s="134" t="s">
        <v>1707</v>
      </c>
      <c r="F124" s="155"/>
      <c r="G124" s="155"/>
    </row>
    <row r="125" spans="1:7">
      <c r="A125" s="131" t="s">
        <v>824</v>
      </c>
      <c r="B125" s="135" t="s">
        <v>1938</v>
      </c>
      <c r="C125" s="135" t="s">
        <v>1757</v>
      </c>
      <c r="D125" s="134" t="s">
        <v>1783</v>
      </c>
      <c r="F125" s="155"/>
      <c r="G125" s="155"/>
    </row>
    <row r="126" spans="1:7">
      <c r="A126" s="131" t="s">
        <v>803</v>
      </c>
      <c r="B126" s="135" t="s">
        <v>1920</v>
      </c>
      <c r="C126" s="135" t="s">
        <v>1704</v>
      </c>
      <c r="D126" s="134" t="s">
        <v>1783</v>
      </c>
      <c r="F126" s="155"/>
      <c r="G126" s="155"/>
    </row>
    <row r="127" spans="1:7">
      <c r="A127" s="131" t="s">
        <v>669</v>
      </c>
      <c r="B127" s="134" t="s">
        <v>1989</v>
      </c>
      <c r="C127" s="134" t="s">
        <v>1724</v>
      </c>
      <c r="D127" s="134" t="s">
        <v>1875</v>
      </c>
      <c r="F127" s="155"/>
      <c r="G127" s="155"/>
    </row>
    <row r="128" spans="1:7">
      <c r="A128" s="131" t="s">
        <v>641</v>
      </c>
      <c r="B128" s="134" t="s">
        <v>1790</v>
      </c>
      <c r="C128" s="134" t="s">
        <v>1724</v>
      </c>
      <c r="D128" s="134" t="s">
        <v>1707</v>
      </c>
      <c r="F128" s="155"/>
      <c r="G128" s="155"/>
    </row>
    <row r="129" spans="1:7">
      <c r="A129" s="131" t="s">
        <v>785</v>
      </c>
      <c r="B129" s="134" t="s">
        <v>1903</v>
      </c>
      <c r="C129" s="134" t="s">
        <v>1724</v>
      </c>
      <c r="D129" s="134" t="s">
        <v>1722</v>
      </c>
      <c r="F129" s="155"/>
      <c r="G129" s="155"/>
    </row>
    <row r="130" spans="1:7">
      <c r="A130" s="131" t="s">
        <v>1673</v>
      </c>
      <c r="B130" s="134" t="s">
        <v>1791</v>
      </c>
      <c r="C130" s="134" t="s">
        <v>1792</v>
      </c>
      <c r="D130" s="134" t="s">
        <v>1705</v>
      </c>
      <c r="F130" s="155"/>
      <c r="G130" s="155"/>
    </row>
    <row r="131" spans="1:7">
      <c r="A131" s="131" t="s">
        <v>1674</v>
      </c>
      <c r="B131" s="134" t="s">
        <v>1793</v>
      </c>
      <c r="C131" s="134" t="s">
        <v>1792</v>
      </c>
      <c r="D131" s="134" t="s">
        <v>1707</v>
      </c>
      <c r="F131" s="155"/>
      <c r="G131" s="155"/>
    </row>
    <row r="132" spans="1:7">
      <c r="A132" s="131" t="s">
        <v>694</v>
      </c>
      <c r="B132" s="135" t="s">
        <v>1890</v>
      </c>
      <c r="C132" s="135" t="s">
        <v>1792</v>
      </c>
      <c r="D132" s="134" t="s">
        <v>1705</v>
      </c>
      <c r="F132" s="155"/>
      <c r="G132" s="155"/>
    </row>
    <row r="133" spans="1:7">
      <c r="A133" s="131" t="s">
        <v>818</v>
      </c>
      <c r="B133" s="135" t="s">
        <v>1934</v>
      </c>
      <c r="C133" s="135" t="s">
        <v>1757</v>
      </c>
      <c r="D133" s="134" t="s">
        <v>1783</v>
      </c>
      <c r="F133" s="155"/>
      <c r="G133" s="155"/>
    </row>
    <row r="134" spans="1:7">
      <c r="A134" s="131" t="s">
        <v>820</v>
      </c>
      <c r="B134" s="135" t="s">
        <v>1935</v>
      </c>
      <c r="C134" s="135" t="s">
        <v>1757</v>
      </c>
      <c r="D134" s="134" t="s">
        <v>1783</v>
      </c>
      <c r="F134" s="155"/>
      <c r="G134" s="155"/>
    </row>
    <row r="135" spans="1:7">
      <c r="A135" s="131" t="s">
        <v>853</v>
      </c>
      <c r="B135" s="134" t="s">
        <v>1962</v>
      </c>
      <c r="C135" s="135" t="s">
        <v>1757</v>
      </c>
      <c r="D135" s="134" t="s">
        <v>1783</v>
      </c>
      <c r="F135" s="155"/>
      <c r="G135" s="155"/>
    </row>
    <row r="136" spans="1:7">
      <c r="A136" s="131" t="s">
        <v>815</v>
      </c>
      <c r="B136" s="134" t="s">
        <v>1931</v>
      </c>
      <c r="C136" s="134" t="s">
        <v>1757</v>
      </c>
      <c r="D136" s="134" t="s">
        <v>1783</v>
      </c>
      <c r="F136" s="155"/>
      <c r="G136" s="155"/>
    </row>
    <row r="137" spans="1:7">
      <c r="A137" s="131" t="s">
        <v>1425</v>
      </c>
      <c r="B137" s="134" t="s">
        <v>1794</v>
      </c>
      <c r="C137" s="134" t="s">
        <v>1726</v>
      </c>
      <c r="D137" s="134" t="s">
        <v>1707</v>
      </c>
      <c r="F137" s="155"/>
      <c r="G137" s="155"/>
    </row>
    <row r="138" spans="1:7">
      <c r="A138" s="132" t="s">
        <v>693</v>
      </c>
      <c r="B138" s="135" t="s">
        <v>1889</v>
      </c>
      <c r="C138" s="135" t="s">
        <v>1726</v>
      </c>
      <c r="D138" s="134" t="s">
        <v>1722</v>
      </c>
      <c r="F138" s="155"/>
      <c r="G138" s="155"/>
    </row>
    <row r="139" spans="1:7">
      <c r="A139" s="131" t="s">
        <v>781</v>
      </c>
      <c r="B139" s="135" t="s">
        <v>1899</v>
      </c>
      <c r="C139" s="134" t="s">
        <v>1724</v>
      </c>
      <c r="D139" s="134" t="s">
        <v>1878</v>
      </c>
      <c r="F139" s="155"/>
      <c r="G139" s="155"/>
    </row>
    <row r="140" spans="1:7">
      <c r="A140" s="131" t="s">
        <v>1795</v>
      </c>
      <c r="B140" s="134" t="s">
        <v>1796</v>
      </c>
      <c r="C140" s="134" t="s">
        <v>1710</v>
      </c>
      <c r="D140" s="134" t="s">
        <v>1707</v>
      </c>
      <c r="F140" s="155"/>
      <c r="G140" s="155"/>
    </row>
    <row r="141" spans="1:7">
      <c r="A141" s="131" t="s">
        <v>702</v>
      </c>
      <c r="B141" s="134" t="s">
        <v>1984</v>
      </c>
      <c r="C141" s="135" t="s">
        <v>1819</v>
      </c>
      <c r="D141" s="134" t="s">
        <v>1875</v>
      </c>
      <c r="F141" s="155"/>
      <c r="G141" s="155"/>
    </row>
    <row r="142" spans="1:7">
      <c r="A142" s="131" t="s">
        <v>1175</v>
      </c>
      <c r="B142" s="134" t="s">
        <v>1797</v>
      </c>
      <c r="C142" s="134" t="s">
        <v>1704</v>
      </c>
      <c r="D142" s="134" t="s">
        <v>1707</v>
      </c>
      <c r="F142" s="155"/>
      <c r="G142" s="155"/>
    </row>
    <row r="143" spans="1:7">
      <c r="A143" s="132" t="s">
        <v>829</v>
      </c>
      <c r="B143" s="134" t="s">
        <v>1943</v>
      </c>
      <c r="C143" s="134" t="s">
        <v>1757</v>
      </c>
      <c r="D143" s="134" t="s">
        <v>1875</v>
      </c>
      <c r="F143" s="155"/>
      <c r="G143" s="155"/>
    </row>
    <row r="144" spans="1:7">
      <c r="A144" s="131" t="s">
        <v>828</v>
      </c>
      <c r="B144" s="134" t="s">
        <v>1942</v>
      </c>
      <c r="C144" s="134" t="s">
        <v>1757</v>
      </c>
      <c r="D144" s="134" t="s">
        <v>1783</v>
      </c>
      <c r="F144" s="155"/>
      <c r="G144" s="155"/>
    </row>
    <row r="145" spans="1:7">
      <c r="A145" s="131" t="s">
        <v>827</v>
      </c>
      <c r="B145" s="134" t="s">
        <v>1941</v>
      </c>
      <c r="C145" s="134" t="s">
        <v>1757</v>
      </c>
      <c r="D145" s="134" t="s">
        <v>1783</v>
      </c>
      <c r="F145" s="155"/>
      <c r="G145" s="155"/>
    </row>
    <row r="146" spans="1:7">
      <c r="A146" s="131" t="s">
        <v>1798</v>
      </c>
      <c r="B146" s="134" t="s">
        <v>1799</v>
      </c>
      <c r="C146" s="134" t="s">
        <v>1710</v>
      </c>
      <c r="D146" s="134" t="s">
        <v>1705</v>
      </c>
      <c r="F146" s="155"/>
      <c r="G146" s="155"/>
    </row>
    <row r="147" spans="1:7">
      <c r="A147" s="131" t="s">
        <v>1800</v>
      </c>
      <c r="B147" s="134" t="s">
        <v>1801</v>
      </c>
      <c r="C147" s="134" t="s">
        <v>1710</v>
      </c>
      <c r="D147" s="134" t="s">
        <v>1711</v>
      </c>
      <c r="F147" s="155"/>
      <c r="G147" s="155"/>
    </row>
    <row r="148" spans="1:7">
      <c r="A148" s="131" t="s">
        <v>741</v>
      </c>
      <c r="B148" s="134" t="s">
        <v>1802</v>
      </c>
      <c r="C148" s="134" t="s">
        <v>1710</v>
      </c>
      <c r="D148" s="134" t="s">
        <v>1711</v>
      </c>
      <c r="F148" s="155"/>
      <c r="G148" s="155"/>
    </row>
    <row r="149" spans="1:7">
      <c r="A149" s="131" t="s">
        <v>628</v>
      </c>
      <c r="B149" s="134" t="s">
        <v>1803</v>
      </c>
      <c r="C149" s="134" t="s">
        <v>1804</v>
      </c>
      <c r="D149" s="134" t="s">
        <v>1705</v>
      </c>
      <c r="F149" s="155"/>
      <c r="G149" s="155"/>
    </row>
    <row r="150" spans="1:7">
      <c r="A150" s="131" t="s">
        <v>627</v>
      </c>
      <c r="B150" s="135" t="s">
        <v>1876</v>
      </c>
      <c r="C150" s="134" t="s">
        <v>1804</v>
      </c>
      <c r="D150" s="134" t="s">
        <v>1783</v>
      </c>
      <c r="F150" s="155"/>
      <c r="G150" s="155"/>
    </row>
    <row r="151" spans="1:7">
      <c r="A151" s="132" t="s">
        <v>750</v>
      </c>
      <c r="B151" s="134" t="s">
        <v>1971</v>
      </c>
      <c r="C151" s="134" t="s">
        <v>1882</v>
      </c>
      <c r="D151" s="134" t="s">
        <v>1707</v>
      </c>
      <c r="F151" s="155"/>
      <c r="G151" s="155"/>
    </row>
    <row r="152" spans="1:7">
      <c r="A152" s="131" t="s">
        <v>751</v>
      </c>
      <c r="B152" s="134" t="s">
        <v>1805</v>
      </c>
      <c r="C152" s="134" t="s">
        <v>1757</v>
      </c>
      <c r="D152" s="134" t="s">
        <v>1707</v>
      </c>
      <c r="F152" s="155"/>
      <c r="G152" s="155"/>
    </row>
    <row r="153" spans="1:7">
      <c r="A153" s="131" t="s">
        <v>1806</v>
      </c>
      <c r="B153" s="134" t="s">
        <v>1807</v>
      </c>
      <c r="C153" s="134" t="s">
        <v>1726</v>
      </c>
      <c r="D153" s="134" t="s">
        <v>1705</v>
      </c>
      <c r="F153" s="155"/>
      <c r="G153" s="155"/>
    </row>
    <row r="154" spans="1:7">
      <c r="A154" s="131" t="s">
        <v>775</v>
      </c>
      <c r="B154" s="134" t="s">
        <v>1808</v>
      </c>
      <c r="C154" s="134" t="s">
        <v>1710</v>
      </c>
      <c r="D154" s="134" t="s">
        <v>1705</v>
      </c>
      <c r="F154" s="155"/>
      <c r="G154" s="155"/>
    </row>
    <row r="155" spans="1:7">
      <c r="A155" s="131" t="s">
        <v>1809</v>
      </c>
      <c r="B155" s="134" t="s">
        <v>1810</v>
      </c>
      <c r="C155" s="134" t="s">
        <v>1710</v>
      </c>
      <c r="D155" s="134" t="s">
        <v>1711</v>
      </c>
      <c r="F155" s="155"/>
      <c r="G155" s="155"/>
    </row>
    <row r="156" spans="1:7">
      <c r="A156" s="131" t="s">
        <v>1811</v>
      </c>
      <c r="B156" s="134" t="s">
        <v>1812</v>
      </c>
      <c r="C156" s="134" t="s">
        <v>1710</v>
      </c>
      <c r="D156" s="134" t="s">
        <v>1711</v>
      </c>
      <c r="F156" s="155"/>
      <c r="G156" s="155"/>
    </row>
    <row r="157" spans="1:7">
      <c r="A157" s="132" t="s">
        <v>673</v>
      </c>
      <c r="B157" s="134" t="s">
        <v>1813</v>
      </c>
      <c r="C157" s="135" t="s">
        <v>1724</v>
      </c>
      <c r="D157" s="134" t="s">
        <v>1783</v>
      </c>
      <c r="F157" s="155"/>
      <c r="G157" s="155"/>
    </row>
    <row r="158" spans="1:7">
      <c r="A158" s="131" t="s">
        <v>432</v>
      </c>
      <c r="B158" s="134" t="s">
        <v>2197</v>
      </c>
      <c r="C158" s="134" t="s">
        <v>1724</v>
      </c>
      <c r="D158" s="134" t="s">
        <v>1707</v>
      </c>
      <c r="F158" s="155"/>
      <c r="G158" s="155"/>
    </row>
    <row r="159" spans="1:7">
      <c r="A159" s="131" t="s">
        <v>808</v>
      </c>
      <c r="B159" s="134" t="s">
        <v>1925</v>
      </c>
      <c r="C159" s="134" t="s">
        <v>1704</v>
      </c>
      <c r="D159" s="134" t="s">
        <v>1783</v>
      </c>
      <c r="F159" s="155"/>
      <c r="G159" s="155"/>
    </row>
    <row r="160" spans="1:7">
      <c r="A160" s="131" t="s">
        <v>764</v>
      </c>
      <c r="B160" s="134" t="s">
        <v>1814</v>
      </c>
      <c r="C160" s="134" t="s">
        <v>1710</v>
      </c>
      <c r="D160" s="134" t="s">
        <v>1707</v>
      </c>
      <c r="F160" s="155"/>
      <c r="G160" s="155"/>
    </row>
    <row r="161" spans="1:7">
      <c r="A161" s="132" t="s">
        <v>659</v>
      </c>
      <c r="B161" s="135" t="s">
        <v>1982</v>
      </c>
      <c r="C161" s="135" t="s">
        <v>1724</v>
      </c>
      <c r="D161" s="134" t="s">
        <v>1783</v>
      </c>
      <c r="F161" s="155"/>
      <c r="G161" s="155"/>
    </row>
    <row r="162" spans="1:7">
      <c r="A162" s="131" t="s">
        <v>1815</v>
      </c>
      <c r="B162" s="134" t="s">
        <v>1816</v>
      </c>
      <c r="C162" s="134" t="s">
        <v>1710</v>
      </c>
      <c r="D162" s="134" t="s">
        <v>1711</v>
      </c>
      <c r="F162" s="155"/>
      <c r="G162" s="155"/>
    </row>
    <row r="163" spans="1:7">
      <c r="A163" s="131" t="s">
        <v>685</v>
      </c>
      <c r="B163" s="134" t="s">
        <v>1817</v>
      </c>
      <c r="C163" s="134" t="s">
        <v>1704</v>
      </c>
      <c r="D163" s="134" t="s">
        <v>1707</v>
      </c>
      <c r="F163" s="155"/>
      <c r="G163" s="155"/>
    </row>
    <row r="164" spans="1:7">
      <c r="A164" s="131" t="s">
        <v>716</v>
      </c>
      <c r="B164" s="134" t="s">
        <v>1818</v>
      </c>
      <c r="C164" s="134" t="s">
        <v>1819</v>
      </c>
      <c r="D164" s="134" t="s">
        <v>1783</v>
      </c>
      <c r="F164" s="155"/>
      <c r="G164" s="155"/>
    </row>
    <row r="165" spans="1:7">
      <c r="A165" s="131" t="s">
        <v>843</v>
      </c>
      <c r="B165" s="134" t="s">
        <v>1954</v>
      </c>
      <c r="C165" s="134" t="s">
        <v>1757</v>
      </c>
      <c r="D165" s="134" t="s">
        <v>1875</v>
      </c>
      <c r="F165" s="155"/>
      <c r="G165" s="155"/>
    </row>
    <row r="166" spans="1:7">
      <c r="A166" s="131" t="s">
        <v>1820</v>
      </c>
      <c r="B166" s="134" t="s">
        <v>2486</v>
      </c>
      <c r="C166" s="134" t="s">
        <v>1819</v>
      </c>
      <c r="D166" s="134" t="s">
        <v>1707</v>
      </c>
      <c r="F166" s="155"/>
      <c r="G166" s="155"/>
    </row>
    <row r="167" spans="1:7">
      <c r="A167" s="131" t="s">
        <v>852</v>
      </c>
      <c r="B167" s="135" t="s">
        <v>1961</v>
      </c>
      <c r="C167" s="135" t="s">
        <v>1757</v>
      </c>
      <c r="D167" s="134" t="s">
        <v>1783</v>
      </c>
      <c r="F167" s="155"/>
      <c r="G167" s="155"/>
    </row>
    <row r="168" spans="1:7">
      <c r="A168" s="131" t="s">
        <v>1270</v>
      </c>
      <c r="B168" s="134" t="s">
        <v>1821</v>
      </c>
      <c r="C168" s="134" t="s">
        <v>1704</v>
      </c>
      <c r="D168" s="134" t="s">
        <v>1707</v>
      </c>
      <c r="F168" s="155"/>
      <c r="G168" s="155"/>
    </row>
    <row r="169" spans="1:7">
      <c r="A169" s="131" t="s">
        <v>733</v>
      </c>
      <c r="B169" s="134" t="s">
        <v>1892</v>
      </c>
      <c r="C169" s="134" t="s">
        <v>1753</v>
      </c>
      <c r="D169" s="134" t="s">
        <v>1707</v>
      </c>
      <c r="F169" s="155"/>
      <c r="G169" s="155"/>
    </row>
    <row r="170" spans="1:7">
      <c r="A170" s="131" t="s">
        <v>855</v>
      </c>
      <c r="B170" s="135" t="s">
        <v>1964</v>
      </c>
      <c r="C170" s="135" t="s">
        <v>1757</v>
      </c>
      <c r="D170" s="134" t="s">
        <v>1783</v>
      </c>
    </row>
    <row r="171" spans="1:7">
      <c r="A171" s="131" t="s">
        <v>780</v>
      </c>
      <c r="B171" s="135" t="s">
        <v>1898</v>
      </c>
      <c r="C171" s="134" t="s">
        <v>1724</v>
      </c>
      <c r="D171" s="134" t="s">
        <v>1878</v>
      </c>
    </row>
    <row r="172" spans="1:7">
      <c r="A172" s="131" t="s">
        <v>858</v>
      </c>
      <c r="B172" s="134" t="s">
        <v>1991</v>
      </c>
      <c r="C172" s="134" t="s">
        <v>1724</v>
      </c>
      <c r="D172" s="134" t="s">
        <v>1707</v>
      </c>
    </row>
    <row r="173" spans="1:7">
      <c r="A173" s="131" t="s">
        <v>844</v>
      </c>
      <c r="B173" s="134" t="s">
        <v>1955</v>
      </c>
      <c r="C173" s="134" t="s">
        <v>1757</v>
      </c>
      <c r="D173" s="134" t="s">
        <v>1875</v>
      </c>
    </row>
    <row r="174" spans="1:7">
      <c r="A174" s="131" t="s">
        <v>933</v>
      </c>
      <c r="B174" s="134" t="s">
        <v>1818</v>
      </c>
      <c r="C174" s="134" t="s">
        <v>1819</v>
      </c>
      <c r="D174" s="134" t="s">
        <v>1705</v>
      </c>
    </row>
    <row r="175" spans="1:7">
      <c r="A175" s="131" t="s">
        <v>424</v>
      </c>
      <c r="B175" s="134" t="s">
        <v>1822</v>
      </c>
      <c r="C175" s="134" t="s">
        <v>1724</v>
      </c>
      <c r="D175" s="134" t="s">
        <v>1707</v>
      </c>
    </row>
    <row r="176" spans="1:7">
      <c r="A176" s="132" t="s">
        <v>720</v>
      </c>
      <c r="B176" s="135" t="s">
        <v>1887</v>
      </c>
      <c r="C176" s="135" t="s">
        <v>1753</v>
      </c>
      <c r="D176" s="134" t="s">
        <v>1783</v>
      </c>
    </row>
    <row r="177" spans="1:4">
      <c r="A177" s="131" t="s">
        <v>617</v>
      </c>
      <c r="B177" s="134" t="s">
        <v>1823</v>
      </c>
      <c r="C177" s="134" t="s">
        <v>1704</v>
      </c>
      <c r="D177" s="134" t="s">
        <v>1711</v>
      </c>
    </row>
    <row r="178" spans="1:4">
      <c r="A178" s="131" t="s">
        <v>822</v>
      </c>
      <c r="B178" s="135" t="s">
        <v>1936</v>
      </c>
      <c r="C178" s="135" t="s">
        <v>1757</v>
      </c>
      <c r="D178" s="134" t="s">
        <v>1783</v>
      </c>
    </row>
    <row r="179" spans="1:4">
      <c r="A179" s="131" t="s">
        <v>1824</v>
      </c>
      <c r="B179" s="134" t="s">
        <v>1825</v>
      </c>
      <c r="C179" s="134" t="s">
        <v>1819</v>
      </c>
      <c r="D179" s="134" t="s">
        <v>1705</v>
      </c>
    </row>
    <row r="180" spans="1:4">
      <c r="A180" s="131" t="s">
        <v>848</v>
      </c>
      <c r="B180" s="134" t="s">
        <v>1958</v>
      </c>
      <c r="C180" s="134" t="s">
        <v>1757</v>
      </c>
      <c r="D180" s="134" t="s">
        <v>1875</v>
      </c>
    </row>
    <row r="181" spans="1:4">
      <c r="A181" s="132" t="s">
        <v>611</v>
      </c>
      <c r="B181" s="135" t="s">
        <v>1826</v>
      </c>
      <c r="C181" s="135" t="s">
        <v>1704</v>
      </c>
      <c r="D181" s="134" t="s">
        <v>1783</v>
      </c>
    </row>
    <row r="182" spans="1:4">
      <c r="A182" s="131" t="s">
        <v>1634</v>
      </c>
      <c r="B182" s="134" t="s">
        <v>1827</v>
      </c>
      <c r="C182" s="134" t="s">
        <v>1724</v>
      </c>
      <c r="D182" s="134" t="s">
        <v>1707</v>
      </c>
    </row>
    <row r="183" spans="1:4">
      <c r="A183" s="131" t="s">
        <v>675</v>
      </c>
      <c r="B183" s="135" t="s">
        <v>1828</v>
      </c>
      <c r="C183" s="135" t="s">
        <v>1704</v>
      </c>
      <c r="D183" s="134" t="s">
        <v>1783</v>
      </c>
    </row>
    <row r="184" spans="1:4">
      <c r="A184" s="131" t="s">
        <v>835</v>
      </c>
      <c r="B184" s="134" t="s">
        <v>1947</v>
      </c>
      <c r="C184" s="134" t="s">
        <v>1757</v>
      </c>
      <c r="D184" s="134" t="s">
        <v>1783</v>
      </c>
    </row>
    <row r="185" spans="1:4">
      <c r="A185" s="131" t="s">
        <v>1272</v>
      </c>
      <c r="B185" s="134" t="s">
        <v>1829</v>
      </c>
      <c r="C185" s="134" t="s">
        <v>1704</v>
      </c>
      <c r="D185" s="134" t="s">
        <v>1707</v>
      </c>
    </row>
    <row r="186" spans="1:4">
      <c r="A186" s="131" t="s">
        <v>786</v>
      </c>
      <c r="B186" s="134" t="s">
        <v>1904</v>
      </c>
      <c r="C186" s="134" t="s">
        <v>1704</v>
      </c>
      <c r="D186" s="134" t="s">
        <v>1783</v>
      </c>
    </row>
    <row r="187" spans="1:4">
      <c r="A187" s="131" t="s">
        <v>650</v>
      </c>
      <c r="B187" s="134" t="s">
        <v>1881</v>
      </c>
      <c r="C187" s="134" t="s">
        <v>1882</v>
      </c>
      <c r="D187" s="134" t="s">
        <v>1705</v>
      </c>
    </row>
    <row r="188" spans="1:4">
      <c r="A188" s="131" t="s">
        <v>825</v>
      </c>
      <c r="B188" s="134" t="s">
        <v>1939</v>
      </c>
      <c r="C188" s="134" t="s">
        <v>1757</v>
      </c>
      <c r="D188" s="134" t="s">
        <v>1783</v>
      </c>
    </row>
    <row r="189" spans="1:4">
      <c r="A189" s="131" t="s">
        <v>600</v>
      </c>
      <c r="B189" s="134" t="s">
        <v>1830</v>
      </c>
      <c r="C189" s="134" t="s">
        <v>1724</v>
      </c>
      <c r="D189" s="134" t="s">
        <v>1711</v>
      </c>
    </row>
    <row r="190" spans="1:4">
      <c r="A190" s="131" t="s">
        <v>682</v>
      </c>
      <c r="B190" s="134" t="s">
        <v>1879</v>
      </c>
      <c r="C190" s="134" t="s">
        <v>1704</v>
      </c>
      <c r="D190" s="134" t="s">
        <v>1705</v>
      </c>
    </row>
    <row r="191" spans="1:4">
      <c r="A191" s="131" t="s">
        <v>851</v>
      </c>
      <c r="B191" s="135" t="s">
        <v>2217</v>
      </c>
      <c r="C191" s="135" t="s">
        <v>1757</v>
      </c>
      <c r="D191" s="134" t="s">
        <v>1783</v>
      </c>
    </row>
    <row r="192" spans="1:4">
      <c r="A192" s="131" t="s">
        <v>765</v>
      </c>
      <c r="B192" s="134" t="s">
        <v>1831</v>
      </c>
      <c r="C192" s="134" t="s">
        <v>1704</v>
      </c>
      <c r="D192" s="134" t="s">
        <v>1707</v>
      </c>
    </row>
    <row r="193" spans="1:4">
      <c r="A193" s="131" t="s">
        <v>1136</v>
      </c>
      <c r="B193" s="134" t="s">
        <v>1832</v>
      </c>
      <c r="C193" s="134" t="s">
        <v>1704</v>
      </c>
      <c r="D193" s="134" t="s">
        <v>1707</v>
      </c>
    </row>
    <row r="194" spans="1:4">
      <c r="A194" s="131" t="s">
        <v>759</v>
      </c>
      <c r="B194" s="134" t="s">
        <v>1833</v>
      </c>
      <c r="C194" s="134" t="s">
        <v>1710</v>
      </c>
      <c r="D194" s="134" t="s">
        <v>1711</v>
      </c>
    </row>
    <row r="195" spans="1:4">
      <c r="A195" s="131" t="s">
        <v>1834</v>
      </c>
      <c r="B195" s="134" t="s">
        <v>1835</v>
      </c>
      <c r="C195" s="134" t="s">
        <v>1710</v>
      </c>
      <c r="D195" s="134" t="s">
        <v>1707</v>
      </c>
    </row>
    <row r="196" spans="1:4">
      <c r="A196" s="131" t="s">
        <v>1608</v>
      </c>
      <c r="B196" s="134" t="s">
        <v>1836</v>
      </c>
      <c r="C196" s="134" t="s">
        <v>1726</v>
      </c>
      <c r="D196" s="134" t="s">
        <v>1707</v>
      </c>
    </row>
    <row r="197" spans="1:4">
      <c r="A197" s="131" t="s">
        <v>769</v>
      </c>
      <c r="B197" s="134" t="s">
        <v>1837</v>
      </c>
      <c r="C197" s="134" t="s">
        <v>1704</v>
      </c>
      <c r="D197" s="134" t="s">
        <v>1705</v>
      </c>
    </row>
    <row r="198" spans="1:4">
      <c r="A198" s="132" t="s">
        <v>705</v>
      </c>
      <c r="B198" s="134" t="s">
        <v>2250</v>
      </c>
      <c r="C198" s="134" t="s">
        <v>1724</v>
      </c>
      <c r="D198" s="134" t="s">
        <v>1707</v>
      </c>
    </row>
    <row r="199" spans="1:4">
      <c r="A199" s="131" t="s">
        <v>805</v>
      </c>
      <c r="B199" s="134" t="s">
        <v>1922</v>
      </c>
      <c r="C199" s="134" t="s">
        <v>1704</v>
      </c>
      <c r="D199" s="134" t="s">
        <v>1783</v>
      </c>
    </row>
    <row r="200" spans="1:4">
      <c r="A200" s="131" t="s">
        <v>1838</v>
      </c>
      <c r="B200" s="134" t="s">
        <v>1839</v>
      </c>
      <c r="C200" s="134" t="s">
        <v>1704</v>
      </c>
      <c r="D200" s="134" t="s">
        <v>1711</v>
      </c>
    </row>
    <row r="201" spans="1:4">
      <c r="A201" s="131" t="s">
        <v>639</v>
      </c>
      <c r="B201" s="134" t="s">
        <v>2218</v>
      </c>
      <c r="C201" s="134" t="s">
        <v>1724</v>
      </c>
      <c r="D201" s="134" t="s">
        <v>1722</v>
      </c>
    </row>
    <row r="202" spans="1:4">
      <c r="A202" s="131" t="s">
        <v>660</v>
      </c>
      <c r="B202" s="135" t="s">
        <v>1770</v>
      </c>
      <c r="C202" s="135" t="s">
        <v>1724</v>
      </c>
      <c r="D202" s="134" t="s">
        <v>1783</v>
      </c>
    </row>
    <row r="203" spans="1:4">
      <c r="A203" s="131" t="s">
        <v>836</v>
      </c>
      <c r="B203" s="134" t="s">
        <v>1948</v>
      </c>
      <c r="C203" s="134" t="s">
        <v>1757</v>
      </c>
      <c r="D203" s="134" t="s">
        <v>1783</v>
      </c>
    </row>
    <row r="204" spans="1:4">
      <c r="A204" s="132" t="s">
        <v>662</v>
      </c>
      <c r="B204" s="135" t="s">
        <v>1983</v>
      </c>
      <c r="C204" s="135" t="s">
        <v>1819</v>
      </c>
      <c r="D204" s="134" t="s">
        <v>1875</v>
      </c>
    </row>
    <row r="205" spans="1:4">
      <c r="A205" s="132" t="s">
        <v>776</v>
      </c>
      <c r="B205" s="135" t="s">
        <v>1883</v>
      </c>
      <c r="C205" s="135" t="s">
        <v>1710</v>
      </c>
      <c r="D205" s="134" t="s">
        <v>1707</v>
      </c>
    </row>
    <row r="206" spans="1:4">
      <c r="A206" s="131" t="s">
        <v>1840</v>
      </c>
      <c r="B206" s="134" t="s">
        <v>1841</v>
      </c>
      <c r="C206" s="134" t="s">
        <v>1710</v>
      </c>
      <c r="D206" s="134" t="s">
        <v>1711</v>
      </c>
    </row>
    <row r="207" spans="1:4">
      <c r="A207" s="131" t="s">
        <v>756</v>
      </c>
      <c r="B207" s="134" t="s">
        <v>1842</v>
      </c>
      <c r="C207" s="134" t="s">
        <v>1710</v>
      </c>
      <c r="D207" s="134" t="s">
        <v>1707</v>
      </c>
    </row>
    <row r="208" spans="1:4">
      <c r="A208" s="131" t="s">
        <v>797</v>
      </c>
      <c r="B208" s="134" t="s">
        <v>1914</v>
      </c>
      <c r="C208" s="134" t="s">
        <v>1704</v>
      </c>
      <c r="D208" s="134" t="s">
        <v>1783</v>
      </c>
    </row>
    <row r="209" spans="1:4">
      <c r="A209" s="131" t="s">
        <v>632</v>
      </c>
      <c r="B209" s="134" t="s">
        <v>1843</v>
      </c>
      <c r="C209" s="134" t="s">
        <v>1724</v>
      </c>
      <c r="D209" s="134" t="s">
        <v>1707</v>
      </c>
    </row>
    <row r="210" spans="1:4">
      <c r="A210" s="131" t="s">
        <v>831</v>
      </c>
      <c r="B210" s="134" t="s">
        <v>1944</v>
      </c>
      <c r="C210" s="134" t="s">
        <v>1757</v>
      </c>
      <c r="D210" s="134" t="s">
        <v>1783</v>
      </c>
    </row>
    <row r="211" spans="1:4">
      <c r="A211" s="132" t="s">
        <v>745</v>
      </c>
      <c r="B211" s="134" t="s">
        <v>2251</v>
      </c>
      <c r="C211" s="134" t="s">
        <v>1882</v>
      </c>
      <c r="D211" s="134" t="s">
        <v>1967</v>
      </c>
    </row>
    <row r="212" spans="1:4">
      <c r="A212" s="132" t="s">
        <v>746</v>
      </c>
      <c r="B212" s="134" t="s">
        <v>1969</v>
      </c>
      <c r="C212" s="134" t="s">
        <v>1882</v>
      </c>
      <c r="D212" s="134" t="s">
        <v>1707</v>
      </c>
    </row>
    <row r="213" spans="1:4">
      <c r="A213" s="131" t="s">
        <v>1440</v>
      </c>
      <c r="B213" s="134" t="s">
        <v>1844</v>
      </c>
      <c r="C213" s="134" t="s">
        <v>1726</v>
      </c>
      <c r="D213" s="134" t="s">
        <v>1705</v>
      </c>
    </row>
    <row r="214" spans="1:4">
      <c r="A214" s="131" t="s">
        <v>678</v>
      </c>
      <c r="B214" s="134" t="s">
        <v>1845</v>
      </c>
      <c r="C214" s="134" t="s">
        <v>1704</v>
      </c>
      <c r="D214" s="134" t="s">
        <v>1705</v>
      </c>
    </row>
    <row r="215" spans="1:4">
      <c r="A215" s="131" t="s">
        <v>609</v>
      </c>
      <c r="B215" s="134" t="s">
        <v>1846</v>
      </c>
      <c r="C215" s="134" t="s">
        <v>1724</v>
      </c>
      <c r="D215" s="134" t="s">
        <v>1707</v>
      </c>
    </row>
    <row r="216" spans="1:4">
      <c r="A216" s="132" t="s">
        <v>747</v>
      </c>
      <c r="B216" s="134" t="s">
        <v>1970</v>
      </c>
      <c r="C216" s="134" t="s">
        <v>1882</v>
      </c>
      <c r="D216" s="134" t="s">
        <v>1707</v>
      </c>
    </row>
    <row r="217" spans="1:4">
      <c r="A217" s="132" t="s">
        <v>748</v>
      </c>
      <c r="B217" s="134" t="s">
        <v>1970</v>
      </c>
      <c r="C217" s="134" t="s">
        <v>1882</v>
      </c>
      <c r="D217" s="134" t="s">
        <v>1707</v>
      </c>
    </row>
    <row r="218" spans="1:4">
      <c r="A218" s="131" t="s">
        <v>727</v>
      </c>
      <c r="B218" s="134" t="s">
        <v>1847</v>
      </c>
      <c r="C218" s="134" t="s">
        <v>1724</v>
      </c>
      <c r="D218" s="134" t="s">
        <v>1707</v>
      </c>
    </row>
    <row r="219" spans="1:4">
      <c r="A219" s="131" t="s">
        <v>801</v>
      </c>
      <c r="B219" s="135" t="s">
        <v>1918</v>
      </c>
      <c r="C219" s="135" t="s">
        <v>1704</v>
      </c>
      <c r="D219" s="134" t="s">
        <v>1722</v>
      </c>
    </row>
    <row r="220" spans="1:4">
      <c r="A220" s="131" t="s">
        <v>774</v>
      </c>
      <c r="B220" s="134" t="s">
        <v>1848</v>
      </c>
      <c r="C220" s="134" t="s">
        <v>1710</v>
      </c>
      <c r="D220" s="134" t="s">
        <v>1711</v>
      </c>
    </row>
    <row r="221" spans="1:4">
      <c r="A221" s="131" t="s">
        <v>1849</v>
      </c>
      <c r="B221" s="134" t="s">
        <v>1850</v>
      </c>
      <c r="C221" s="134" t="s">
        <v>1710</v>
      </c>
      <c r="D221" s="134" t="s">
        <v>1711</v>
      </c>
    </row>
    <row r="222" spans="1:4">
      <c r="A222" s="131" t="s">
        <v>1441</v>
      </c>
      <c r="B222" s="134" t="s">
        <v>1851</v>
      </c>
      <c r="C222" s="134" t="s">
        <v>1726</v>
      </c>
      <c r="D222" s="134" t="s">
        <v>1707</v>
      </c>
    </row>
    <row r="223" spans="1:4">
      <c r="A223" s="131" t="s">
        <v>1279</v>
      </c>
      <c r="B223" s="134" t="s">
        <v>1852</v>
      </c>
      <c r="C223" s="134" t="s">
        <v>1704</v>
      </c>
      <c r="D223" s="134" t="s">
        <v>1707</v>
      </c>
    </row>
    <row r="224" spans="1:4">
      <c r="A224" s="131" t="s">
        <v>642</v>
      </c>
      <c r="B224" s="134" t="s">
        <v>1853</v>
      </c>
      <c r="C224" s="134" t="s">
        <v>1704</v>
      </c>
      <c r="D224" s="134" t="s">
        <v>1707</v>
      </c>
    </row>
    <row r="225" spans="1:4">
      <c r="A225" s="131" t="s">
        <v>1192</v>
      </c>
      <c r="B225" s="134" t="s">
        <v>1854</v>
      </c>
      <c r="C225" s="134" t="s">
        <v>1704</v>
      </c>
      <c r="D225" s="134" t="s">
        <v>1707</v>
      </c>
    </row>
    <row r="226" spans="1:4">
      <c r="A226" s="131" t="s">
        <v>1194</v>
      </c>
      <c r="B226" s="134" t="s">
        <v>1855</v>
      </c>
      <c r="C226" s="134" t="s">
        <v>1704</v>
      </c>
      <c r="D226" s="134" t="s">
        <v>1707</v>
      </c>
    </row>
    <row r="227" spans="1:4">
      <c r="A227" s="131" t="s">
        <v>1196</v>
      </c>
      <c r="B227" s="134" t="s">
        <v>1856</v>
      </c>
      <c r="C227" s="134" t="s">
        <v>1704</v>
      </c>
      <c r="D227" s="134" t="s">
        <v>1707</v>
      </c>
    </row>
    <row r="228" spans="1:4">
      <c r="A228" s="131" t="s">
        <v>1857</v>
      </c>
      <c r="B228" s="134" t="s">
        <v>1858</v>
      </c>
      <c r="C228" s="134" t="s">
        <v>1710</v>
      </c>
      <c r="D228" s="134" t="s">
        <v>1711</v>
      </c>
    </row>
    <row r="229" spans="1:4">
      <c r="A229" s="131" t="s">
        <v>761</v>
      </c>
      <c r="B229" s="134" t="s">
        <v>1859</v>
      </c>
      <c r="C229" s="134" t="s">
        <v>1710</v>
      </c>
      <c r="D229" s="134" t="s">
        <v>1711</v>
      </c>
    </row>
    <row r="230" spans="1:4">
      <c r="A230" s="131" t="s">
        <v>773</v>
      </c>
      <c r="B230" s="134" t="s">
        <v>1860</v>
      </c>
      <c r="C230" s="134" t="s">
        <v>1710</v>
      </c>
      <c r="D230" s="134" t="s">
        <v>1711</v>
      </c>
    </row>
    <row r="231" spans="1:4">
      <c r="A231" s="131" t="s">
        <v>717</v>
      </c>
      <c r="B231" s="134" t="s">
        <v>1861</v>
      </c>
      <c r="C231" s="134" t="s">
        <v>1726</v>
      </c>
      <c r="D231" s="134" t="s">
        <v>1705</v>
      </c>
    </row>
    <row r="232" spans="1:4">
      <c r="A232" s="132" t="s">
        <v>707</v>
      </c>
      <c r="B232" s="135" t="s">
        <v>1979</v>
      </c>
      <c r="C232" s="135" t="s">
        <v>1726</v>
      </c>
      <c r="D232" s="134" t="s">
        <v>1967</v>
      </c>
    </row>
    <row r="233" spans="1:4">
      <c r="A233" s="131" t="s">
        <v>1677</v>
      </c>
      <c r="B233" s="134" t="s">
        <v>1862</v>
      </c>
      <c r="C233" s="134" t="s">
        <v>1742</v>
      </c>
      <c r="D233" s="134" t="s">
        <v>1705</v>
      </c>
    </row>
    <row r="234" spans="1:4">
      <c r="A234" s="133" t="s">
        <v>791</v>
      </c>
      <c r="B234" s="136" t="s">
        <v>1909</v>
      </c>
      <c r="C234" s="137" t="s">
        <v>1704</v>
      </c>
      <c r="D234" s="134" t="s">
        <v>1783</v>
      </c>
    </row>
    <row r="235" spans="1:4">
      <c r="A235" s="133" t="s">
        <v>792</v>
      </c>
      <c r="B235" s="135" t="s">
        <v>1910</v>
      </c>
      <c r="C235" s="134" t="s">
        <v>1704</v>
      </c>
      <c r="D235" s="134" t="s">
        <v>1783</v>
      </c>
    </row>
    <row r="236" spans="1:4">
      <c r="A236" s="133" t="s">
        <v>793</v>
      </c>
      <c r="B236" s="135" t="s">
        <v>1911</v>
      </c>
      <c r="C236" s="134" t="s">
        <v>1704</v>
      </c>
      <c r="D236" s="134" t="s">
        <v>1783</v>
      </c>
    </row>
    <row r="237" spans="1:4">
      <c r="A237" s="131" t="s">
        <v>646</v>
      </c>
      <c r="B237" s="134" t="s">
        <v>1863</v>
      </c>
      <c r="C237" s="134" t="s">
        <v>1704</v>
      </c>
      <c r="D237" s="134" t="s">
        <v>1707</v>
      </c>
    </row>
    <row r="238" spans="1:4">
      <c r="A238" s="131" t="s">
        <v>799</v>
      </c>
      <c r="B238" s="135" t="s">
        <v>1916</v>
      </c>
      <c r="C238" s="135" t="s">
        <v>1704</v>
      </c>
      <c r="D238" s="134" t="s">
        <v>1783</v>
      </c>
    </row>
    <row r="239" spans="1:4">
      <c r="A239" s="131" t="s">
        <v>800</v>
      </c>
      <c r="B239" s="135" t="s">
        <v>1917</v>
      </c>
      <c r="C239" s="135" t="s">
        <v>1704</v>
      </c>
      <c r="D239" s="134" t="s">
        <v>1783</v>
      </c>
    </row>
    <row r="240" spans="1:4">
      <c r="A240" s="132" t="s">
        <v>706</v>
      </c>
      <c r="B240" s="134" t="s">
        <v>1978</v>
      </c>
      <c r="C240" s="134" t="s">
        <v>1726</v>
      </c>
      <c r="D240" s="134" t="s">
        <v>1967</v>
      </c>
    </row>
    <row r="241" spans="1:4">
      <c r="A241" s="131" t="s">
        <v>798</v>
      </c>
      <c r="B241" s="135" t="s">
        <v>1915</v>
      </c>
      <c r="C241" s="135" t="s">
        <v>1704</v>
      </c>
      <c r="D241" s="134" t="s">
        <v>1783</v>
      </c>
    </row>
    <row r="242" spans="1:4">
      <c r="A242" s="131" t="s">
        <v>849</v>
      </c>
      <c r="B242" s="134" t="s">
        <v>1959</v>
      </c>
      <c r="C242" s="134" t="s">
        <v>1757</v>
      </c>
      <c r="D242" s="134" t="s">
        <v>1783</v>
      </c>
    </row>
    <row r="243" spans="1:4">
      <c r="A243" s="132" t="s">
        <v>710</v>
      </c>
      <c r="B243" s="135" t="s">
        <v>1763</v>
      </c>
      <c r="C243" s="135" t="s">
        <v>1704</v>
      </c>
      <c r="D243" s="134" t="s">
        <v>1707</v>
      </c>
    </row>
    <row r="244" spans="1:4">
      <c r="A244" s="131" t="s">
        <v>807</v>
      </c>
      <c r="B244" s="135" t="s">
        <v>1924</v>
      </c>
      <c r="C244" s="135" t="s">
        <v>1704</v>
      </c>
      <c r="D244" s="134" t="s">
        <v>1783</v>
      </c>
    </row>
    <row r="245" spans="1:4">
      <c r="A245" s="131" t="s">
        <v>757</v>
      </c>
      <c r="B245" s="134" t="s">
        <v>1864</v>
      </c>
      <c r="C245" s="134" t="s">
        <v>1710</v>
      </c>
      <c r="D245" s="134" t="s">
        <v>1705</v>
      </c>
    </row>
    <row r="246" spans="1:4">
      <c r="A246" s="131" t="s">
        <v>758</v>
      </c>
      <c r="B246" s="134" t="s">
        <v>1865</v>
      </c>
      <c r="C246" s="134" t="s">
        <v>1710</v>
      </c>
      <c r="D246" s="134" t="s">
        <v>1705</v>
      </c>
    </row>
    <row r="247" spans="1:4">
      <c r="A247" s="131" t="s">
        <v>607</v>
      </c>
      <c r="B247" s="134" t="s">
        <v>1866</v>
      </c>
      <c r="C247" s="134" t="s">
        <v>1724</v>
      </c>
      <c r="D247" s="134" t="s">
        <v>1707</v>
      </c>
    </row>
    <row r="248" spans="1:4">
      <c r="A248" s="131" t="s">
        <v>724</v>
      </c>
      <c r="B248" s="134" t="s">
        <v>1867</v>
      </c>
      <c r="C248" s="134" t="s">
        <v>1724</v>
      </c>
      <c r="D248" s="134" t="s">
        <v>1707</v>
      </c>
    </row>
    <row r="249" spans="1:4">
      <c r="A249" s="131" t="s">
        <v>766</v>
      </c>
      <c r="B249" s="134" t="s">
        <v>1868</v>
      </c>
      <c r="C249" s="134" t="s">
        <v>1704</v>
      </c>
      <c r="D249" s="134" t="s">
        <v>1705</v>
      </c>
    </row>
    <row r="250" spans="1:4">
      <c r="A250" s="131" t="s">
        <v>802</v>
      </c>
      <c r="B250" s="135" t="s">
        <v>1919</v>
      </c>
      <c r="C250" s="135" t="s">
        <v>1704</v>
      </c>
      <c r="D250" s="134" t="s">
        <v>1722</v>
      </c>
    </row>
    <row r="251" spans="1:4">
      <c r="A251" s="131" t="s">
        <v>647</v>
      </c>
      <c r="B251" s="135" t="s">
        <v>1880</v>
      </c>
      <c r="C251" s="135" t="s">
        <v>1704</v>
      </c>
      <c r="D251" s="134" t="s">
        <v>1707</v>
      </c>
    </row>
    <row r="252" spans="1:4">
      <c r="A252" s="131" t="s">
        <v>648</v>
      </c>
      <c r="B252" s="134" t="s">
        <v>1869</v>
      </c>
      <c r="C252" s="134" t="s">
        <v>1704</v>
      </c>
      <c r="D252" s="134" t="s">
        <v>1705</v>
      </c>
    </row>
    <row r="253" spans="1:4">
      <c r="A253" s="132" t="s">
        <v>687</v>
      </c>
      <c r="B253" s="134" t="s">
        <v>1894</v>
      </c>
      <c r="C253" s="134" t="s">
        <v>1704</v>
      </c>
      <c r="D253" s="134" t="s">
        <v>1783</v>
      </c>
    </row>
    <row r="254" spans="1:4">
      <c r="A254" s="131" t="s">
        <v>621</v>
      </c>
      <c r="B254" s="134" t="s">
        <v>1870</v>
      </c>
      <c r="C254" s="134" t="s">
        <v>1704</v>
      </c>
      <c r="D254" s="134" t="s">
        <v>1707</v>
      </c>
    </row>
    <row r="255" spans="1:4">
      <c r="A255" s="131" t="s">
        <v>1285</v>
      </c>
      <c r="B255" s="134" t="s">
        <v>1871</v>
      </c>
      <c r="C255" s="134" t="s">
        <v>1704</v>
      </c>
      <c r="D255" s="134" t="s">
        <v>1707</v>
      </c>
    </row>
    <row r="256" spans="1:4">
      <c r="A256" s="131" t="s">
        <v>826</v>
      </c>
      <c r="B256" s="134" t="s">
        <v>1940</v>
      </c>
      <c r="C256" s="134" t="s">
        <v>1757</v>
      </c>
      <c r="D256" s="134" t="s">
        <v>1783</v>
      </c>
    </row>
    <row r="257" spans="1:4">
      <c r="A257" s="131" t="s">
        <v>784</v>
      </c>
      <c r="B257" s="134" t="s">
        <v>1902</v>
      </c>
      <c r="C257" s="134" t="s">
        <v>1724</v>
      </c>
      <c r="D257" s="134" t="s">
        <v>1783</v>
      </c>
    </row>
    <row r="258" spans="1:4">
      <c r="A258" s="131" t="s">
        <v>623</v>
      </c>
      <c r="B258" s="134" t="s">
        <v>1986</v>
      </c>
      <c r="C258" s="134" t="s">
        <v>1753</v>
      </c>
      <c r="D258" s="134" t="s">
        <v>1722</v>
      </c>
    </row>
    <row r="259" spans="1:4">
      <c r="A259" s="131" t="s">
        <v>823</v>
      </c>
      <c r="B259" s="135" t="s">
        <v>1937</v>
      </c>
      <c r="C259" s="135" t="s">
        <v>1757</v>
      </c>
      <c r="D259" s="134" t="s">
        <v>1783</v>
      </c>
    </row>
    <row r="260" spans="1:4">
      <c r="A260" s="131" t="s">
        <v>814</v>
      </c>
      <c r="B260" s="135" t="s">
        <v>1930</v>
      </c>
      <c r="C260" s="135" t="s">
        <v>1757</v>
      </c>
      <c r="D260" s="134" t="s">
        <v>1722</v>
      </c>
    </row>
    <row r="261" spans="1:4">
      <c r="A261" s="131" t="s">
        <v>676</v>
      </c>
      <c r="B261" s="134" t="s">
        <v>1872</v>
      </c>
      <c r="C261" s="134" t="s">
        <v>1704</v>
      </c>
      <c r="D261" s="134" t="s">
        <v>1705</v>
      </c>
    </row>
    <row r="262" spans="1:4">
      <c r="A262" s="131" t="s">
        <v>701</v>
      </c>
      <c r="B262" s="134" t="s">
        <v>1891</v>
      </c>
      <c r="C262" s="134" t="s">
        <v>1704</v>
      </c>
      <c r="D262" s="134" t="s">
        <v>1707</v>
      </c>
    </row>
    <row r="263" spans="1:4">
      <c r="A263" s="131" t="s">
        <v>760</v>
      </c>
      <c r="B263" s="134" t="s">
        <v>1873</v>
      </c>
      <c r="C263" s="134" t="s">
        <v>1710</v>
      </c>
      <c r="D263" s="134" t="s">
        <v>1707</v>
      </c>
    </row>
    <row r="264" spans="1:4">
      <c r="A264" s="141" t="s">
        <v>1170</v>
      </c>
      <c r="B264" s="129" t="s">
        <v>2243</v>
      </c>
      <c r="C264" s="129" t="s">
        <v>1704</v>
      </c>
      <c r="D264" s="129" t="s">
        <v>1707</v>
      </c>
    </row>
  </sheetData>
  <sortState ref="A3:B8">
    <sortCondition ref="A3:A8"/>
  </sortState>
  <pageMargins left="0.7" right="0.7" top="0.75" bottom="0.75" header="0.3" footer="0.3"/>
  <pageSetup paperSize="9"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dimension ref="A1:G160"/>
  <sheetViews>
    <sheetView showGridLines="0" zoomScaleNormal="100" workbookViewId="0">
      <pane ySplit="2" topLeftCell="A3" activePane="bottomLeft" state="frozen"/>
      <selection pane="bottomLeft" activeCell="H5" sqref="H5"/>
    </sheetView>
  </sheetViews>
  <sheetFormatPr defaultRowHeight="15"/>
  <cols>
    <col min="1" max="1" width="32.42578125" customWidth="1"/>
    <col min="2" max="2" width="33.42578125" customWidth="1"/>
    <col min="3" max="3" width="23.7109375" customWidth="1"/>
    <col min="4" max="4" width="9.5703125" customWidth="1"/>
    <col min="5" max="5" width="33" customWidth="1"/>
    <col min="6" max="6" width="33.140625" customWidth="1"/>
  </cols>
  <sheetData>
    <row r="1" spans="1:7" ht="46.5" customHeight="1">
      <c r="A1" s="251" t="s">
        <v>2488</v>
      </c>
      <c r="B1" s="251"/>
      <c r="C1" s="251"/>
      <c r="D1" s="251"/>
      <c r="E1" s="251"/>
      <c r="F1" s="138"/>
      <c r="G1" s="138"/>
    </row>
    <row r="2" spans="1:7">
      <c r="A2" s="139" t="s">
        <v>575</v>
      </c>
      <c r="B2" s="139" t="s">
        <v>576</v>
      </c>
      <c r="C2" s="139" t="s">
        <v>163</v>
      </c>
      <c r="D2" s="140" t="s">
        <v>162</v>
      </c>
      <c r="E2" s="140" t="s">
        <v>2227</v>
      </c>
      <c r="F2" s="140" t="s">
        <v>2487</v>
      </c>
    </row>
    <row r="3" spans="1:7">
      <c r="A3" s="147" t="s">
        <v>737</v>
      </c>
      <c r="B3" s="144" t="s">
        <v>2299</v>
      </c>
      <c r="C3" s="143" t="s">
        <v>1792</v>
      </c>
      <c r="D3" s="143" t="s">
        <v>1992</v>
      </c>
      <c r="E3" s="143" t="s">
        <v>730</v>
      </c>
      <c r="F3" s="187" t="s">
        <v>139</v>
      </c>
    </row>
    <row r="4" spans="1:7" ht="30">
      <c r="A4" s="142" t="s">
        <v>1673</v>
      </c>
      <c r="B4" s="144" t="s">
        <v>2297</v>
      </c>
      <c r="C4" s="143" t="s">
        <v>1792</v>
      </c>
      <c r="D4" s="143" t="s">
        <v>1992</v>
      </c>
      <c r="E4" s="143" t="s">
        <v>2249</v>
      </c>
      <c r="F4" s="187" t="s">
        <v>139</v>
      </c>
    </row>
    <row r="5" spans="1:7">
      <c r="A5" s="142" t="s">
        <v>1674</v>
      </c>
      <c r="B5" s="144" t="s">
        <v>2309</v>
      </c>
      <c r="C5" s="143" t="s">
        <v>1792</v>
      </c>
      <c r="D5" s="143" t="s">
        <v>1993</v>
      </c>
      <c r="E5" s="143" t="s">
        <v>2249</v>
      </c>
      <c r="F5" s="187" t="s">
        <v>139</v>
      </c>
    </row>
    <row r="6" spans="1:7" ht="45" customHeight="1">
      <c r="A6" s="142" t="s">
        <v>694</v>
      </c>
      <c r="B6" s="154" t="s">
        <v>2308</v>
      </c>
      <c r="C6" s="146" t="s">
        <v>1792</v>
      </c>
      <c r="D6" s="143" t="s">
        <v>1992</v>
      </c>
      <c r="E6" s="143" t="s">
        <v>2233</v>
      </c>
      <c r="F6" s="187" t="s">
        <v>139</v>
      </c>
    </row>
    <row r="7" spans="1:7" ht="45" customHeight="1">
      <c r="A7" s="142" t="s">
        <v>612</v>
      </c>
      <c r="B7" s="144" t="s">
        <v>1703</v>
      </c>
      <c r="C7" s="143" t="s">
        <v>1704</v>
      </c>
      <c r="D7" s="143" t="s">
        <v>1992</v>
      </c>
      <c r="E7" s="144" t="s">
        <v>2224</v>
      </c>
      <c r="F7" s="186" t="s">
        <v>70</v>
      </c>
    </row>
    <row r="8" spans="1:7" ht="60" customHeight="1">
      <c r="A8" s="142" t="s">
        <v>704</v>
      </c>
      <c r="B8" s="144" t="s">
        <v>1706</v>
      </c>
      <c r="C8" s="143" t="s">
        <v>1704</v>
      </c>
      <c r="D8" s="143" t="s">
        <v>1993</v>
      </c>
      <c r="E8" s="143" t="s">
        <v>703</v>
      </c>
      <c r="F8" s="186" t="s">
        <v>70</v>
      </c>
    </row>
    <row r="9" spans="1:7" ht="45" customHeight="1">
      <c r="A9" s="142" t="s">
        <v>615</v>
      </c>
      <c r="B9" s="144" t="s">
        <v>1713</v>
      </c>
      <c r="C9" s="143" t="s">
        <v>1704</v>
      </c>
      <c r="D9" s="143" t="s">
        <v>1993</v>
      </c>
      <c r="E9" s="144" t="s">
        <v>2226</v>
      </c>
      <c r="F9" s="186" t="s">
        <v>70</v>
      </c>
    </row>
    <row r="10" spans="1:7" ht="60">
      <c r="A10" s="142" t="s">
        <v>544</v>
      </c>
      <c r="B10" s="144" t="s">
        <v>1715</v>
      </c>
      <c r="C10" s="143" t="s">
        <v>1704</v>
      </c>
      <c r="D10" s="143" t="s">
        <v>1993</v>
      </c>
      <c r="E10" s="144" t="s">
        <v>2228</v>
      </c>
      <c r="F10" s="186" t="s">
        <v>70</v>
      </c>
    </row>
    <row r="11" spans="1:7" ht="15" customHeight="1">
      <c r="A11" s="142" t="s">
        <v>232</v>
      </c>
      <c r="B11" s="144" t="s">
        <v>1716</v>
      </c>
      <c r="C11" s="143" t="s">
        <v>1704</v>
      </c>
      <c r="D11" s="143" t="s">
        <v>1993</v>
      </c>
      <c r="E11" s="144" t="s">
        <v>2229</v>
      </c>
      <c r="F11" s="186" t="s">
        <v>70</v>
      </c>
    </row>
    <row r="12" spans="1:7" ht="15" customHeight="1">
      <c r="A12" s="142" t="s">
        <v>1259</v>
      </c>
      <c r="B12" s="144" t="s">
        <v>1717</v>
      </c>
      <c r="C12" s="143" t="s">
        <v>1704</v>
      </c>
      <c r="D12" s="143" t="s">
        <v>1993</v>
      </c>
      <c r="E12" s="143" t="s">
        <v>2249</v>
      </c>
      <c r="F12" s="186" t="s">
        <v>70</v>
      </c>
    </row>
    <row r="13" spans="1:7" ht="30" customHeight="1">
      <c r="A13" s="142" t="s">
        <v>644</v>
      </c>
      <c r="B13" s="144" t="s">
        <v>1727</v>
      </c>
      <c r="C13" s="143" t="s">
        <v>1704</v>
      </c>
      <c r="D13" s="143" t="s">
        <v>1993</v>
      </c>
      <c r="E13" s="144" t="s">
        <v>2232</v>
      </c>
      <c r="F13" s="186" t="s">
        <v>67</v>
      </c>
    </row>
    <row r="14" spans="1:7" ht="15" customHeight="1">
      <c r="A14" s="142" t="s">
        <v>645</v>
      </c>
      <c r="B14" s="144" t="s">
        <v>1728</v>
      </c>
      <c r="C14" s="143" t="s">
        <v>1704</v>
      </c>
      <c r="D14" s="143" t="s">
        <v>1992</v>
      </c>
      <c r="E14" s="143" t="s">
        <v>643</v>
      </c>
      <c r="F14" s="186" t="s">
        <v>67</v>
      </c>
    </row>
    <row r="15" spans="1:7" ht="45" customHeight="1">
      <c r="A15" s="142" t="s">
        <v>683</v>
      </c>
      <c r="B15" s="144" t="s">
        <v>1729</v>
      </c>
      <c r="C15" s="143" t="s">
        <v>1704</v>
      </c>
      <c r="D15" s="143" t="s">
        <v>1993</v>
      </c>
      <c r="E15" s="143" t="s">
        <v>2233</v>
      </c>
      <c r="F15" s="186" t="s">
        <v>67</v>
      </c>
    </row>
    <row r="16" spans="1:7">
      <c r="A16" s="142" t="s">
        <v>698</v>
      </c>
      <c r="B16" s="144" t="s">
        <v>1746</v>
      </c>
      <c r="C16" s="143" t="s">
        <v>1704</v>
      </c>
      <c r="D16" s="143" t="s">
        <v>1992</v>
      </c>
      <c r="E16" s="143" t="s">
        <v>715</v>
      </c>
      <c r="F16" s="186" t="s">
        <v>70</v>
      </c>
    </row>
    <row r="17" spans="1:6" ht="45" customHeight="1">
      <c r="A17" s="142" t="s">
        <v>679</v>
      </c>
      <c r="B17" s="144" t="s">
        <v>1751</v>
      </c>
      <c r="C17" s="143" t="s">
        <v>1704</v>
      </c>
      <c r="D17" s="143" t="s">
        <v>1993</v>
      </c>
      <c r="E17" s="143" t="s">
        <v>2233</v>
      </c>
      <c r="F17" s="187" t="s">
        <v>150</v>
      </c>
    </row>
    <row r="18" spans="1:6" ht="45" customHeight="1">
      <c r="A18" s="147" t="s">
        <v>767</v>
      </c>
      <c r="B18" s="154" t="s">
        <v>1974</v>
      </c>
      <c r="C18" s="146" t="s">
        <v>1704</v>
      </c>
      <c r="D18" s="143" t="s">
        <v>1994</v>
      </c>
      <c r="E18" s="143" t="s">
        <v>730</v>
      </c>
      <c r="F18" s="187" t="s">
        <v>156</v>
      </c>
    </row>
    <row r="19" spans="1:6" ht="15" customHeight="1">
      <c r="A19" s="142" t="s">
        <v>1135</v>
      </c>
      <c r="B19" s="144" t="s">
        <v>1756</v>
      </c>
      <c r="C19" s="143" t="s">
        <v>1704</v>
      </c>
      <c r="D19" s="143" t="s">
        <v>1993</v>
      </c>
      <c r="E19" s="143" t="s">
        <v>2249</v>
      </c>
      <c r="F19" s="187" t="s">
        <v>156</v>
      </c>
    </row>
    <row r="20" spans="1:6" ht="15" customHeight="1">
      <c r="A20" s="148" t="s">
        <v>768</v>
      </c>
      <c r="B20" s="154" t="s">
        <v>1976</v>
      </c>
      <c r="C20" s="146" t="s">
        <v>1704</v>
      </c>
      <c r="D20" s="143" t="s">
        <v>1994</v>
      </c>
      <c r="E20" s="143" t="s">
        <v>730</v>
      </c>
      <c r="F20" s="187" t="s">
        <v>156</v>
      </c>
    </row>
    <row r="21" spans="1:6">
      <c r="A21" s="142" t="s">
        <v>1264</v>
      </c>
      <c r="B21" s="144" t="s">
        <v>1763</v>
      </c>
      <c r="C21" s="143" t="s">
        <v>1704</v>
      </c>
      <c r="D21" s="143" t="s">
        <v>1993</v>
      </c>
      <c r="E21" s="143" t="s">
        <v>2249</v>
      </c>
      <c r="F21" s="186" t="s">
        <v>70</v>
      </c>
    </row>
    <row r="22" spans="1:6">
      <c r="A22" s="142" t="s">
        <v>1695</v>
      </c>
      <c r="B22" s="144" t="s">
        <v>1767</v>
      </c>
      <c r="C22" s="143" t="s">
        <v>1704</v>
      </c>
      <c r="D22" s="143" t="s">
        <v>1994</v>
      </c>
      <c r="E22" s="143" t="s">
        <v>2249</v>
      </c>
      <c r="F22" s="187" t="s">
        <v>150</v>
      </c>
    </row>
    <row r="23" spans="1:6" ht="30">
      <c r="A23" s="149" t="s">
        <v>1170</v>
      </c>
      <c r="B23" s="153" t="s">
        <v>2243</v>
      </c>
      <c r="C23" s="150" t="s">
        <v>1704</v>
      </c>
      <c r="D23" s="150" t="s">
        <v>1993</v>
      </c>
      <c r="E23" s="143" t="s">
        <v>2325</v>
      </c>
      <c r="F23" s="188" t="s">
        <v>2292</v>
      </c>
    </row>
    <row r="24" spans="1:6">
      <c r="A24" s="142" t="s">
        <v>1266</v>
      </c>
      <c r="B24" s="144" t="s">
        <v>1769</v>
      </c>
      <c r="C24" s="143" t="s">
        <v>1704</v>
      </c>
      <c r="D24" s="143" t="s">
        <v>1993</v>
      </c>
      <c r="E24" s="143" t="s">
        <v>2249</v>
      </c>
      <c r="F24" s="186" t="s">
        <v>70</v>
      </c>
    </row>
    <row r="25" spans="1:6" ht="15" customHeight="1">
      <c r="A25" s="142" t="s">
        <v>714</v>
      </c>
      <c r="B25" s="144" t="s">
        <v>1771</v>
      </c>
      <c r="C25" s="143" t="s">
        <v>1704</v>
      </c>
      <c r="D25" s="143" t="s">
        <v>1993</v>
      </c>
      <c r="E25" s="143" t="s">
        <v>711</v>
      </c>
      <c r="F25" s="187" t="s">
        <v>150</v>
      </c>
    </row>
    <row r="26" spans="1:6">
      <c r="A26" s="142" t="s">
        <v>1236</v>
      </c>
      <c r="B26" s="144" t="s">
        <v>1777</v>
      </c>
      <c r="C26" s="143" t="s">
        <v>1704</v>
      </c>
      <c r="D26" s="143" t="s">
        <v>1992</v>
      </c>
      <c r="E26" s="143" t="s">
        <v>2249</v>
      </c>
      <c r="F26" s="186" t="s">
        <v>70</v>
      </c>
    </row>
    <row r="27" spans="1:6" ht="15" customHeight="1">
      <c r="A27" s="142" t="s">
        <v>684</v>
      </c>
      <c r="B27" s="144" t="s">
        <v>1787</v>
      </c>
      <c r="C27" s="143" t="s">
        <v>1704</v>
      </c>
      <c r="D27" s="143" t="s">
        <v>1992</v>
      </c>
      <c r="E27" s="143" t="s">
        <v>2233</v>
      </c>
      <c r="F27" s="187" t="s">
        <v>67</v>
      </c>
    </row>
    <row r="28" spans="1:6" ht="30">
      <c r="A28" s="142" t="s">
        <v>1175</v>
      </c>
      <c r="B28" s="144" t="s">
        <v>1797</v>
      </c>
      <c r="C28" s="143" t="s">
        <v>1704</v>
      </c>
      <c r="D28" s="143" t="s">
        <v>1993</v>
      </c>
      <c r="E28" s="143" t="s">
        <v>2249</v>
      </c>
      <c r="F28" s="188" t="s">
        <v>2292</v>
      </c>
    </row>
    <row r="29" spans="1:6" ht="15" customHeight="1">
      <c r="A29" s="142" t="s">
        <v>685</v>
      </c>
      <c r="B29" s="144" t="s">
        <v>1817</v>
      </c>
      <c r="C29" s="143" t="s">
        <v>1704</v>
      </c>
      <c r="D29" s="143" t="s">
        <v>1993</v>
      </c>
      <c r="E29" s="143" t="s">
        <v>2233</v>
      </c>
      <c r="F29" s="187" t="s">
        <v>67</v>
      </c>
    </row>
    <row r="30" spans="1:6">
      <c r="A30" s="142" t="s">
        <v>1270</v>
      </c>
      <c r="B30" s="144" t="s">
        <v>1821</v>
      </c>
      <c r="C30" s="143" t="s">
        <v>1704</v>
      </c>
      <c r="D30" s="143" t="s">
        <v>1993</v>
      </c>
      <c r="E30" s="143" t="s">
        <v>2249</v>
      </c>
      <c r="F30" s="186" t="s">
        <v>70</v>
      </c>
    </row>
    <row r="31" spans="1:6" ht="60" customHeight="1">
      <c r="A31" s="142" t="s">
        <v>617</v>
      </c>
      <c r="B31" s="144" t="s">
        <v>1823</v>
      </c>
      <c r="C31" s="143" t="s">
        <v>1704</v>
      </c>
      <c r="D31" s="143" t="s">
        <v>1994</v>
      </c>
      <c r="E31" s="143" t="s">
        <v>613</v>
      </c>
      <c r="F31" s="186" t="s">
        <v>70</v>
      </c>
    </row>
    <row r="32" spans="1:6" ht="15" customHeight="1">
      <c r="A32" s="142" t="s">
        <v>1272</v>
      </c>
      <c r="B32" s="144" t="s">
        <v>1829</v>
      </c>
      <c r="C32" s="143" t="s">
        <v>1704</v>
      </c>
      <c r="D32" s="143" t="s">
        <v>1993</v>
      </c>
      <c r="E32" s="143" t="s">
        <v>2249</v>
      </c>
      <c r="F32" s="186" t="s">
        <v>70</v>
      </c>
    </row>
    <row r="33" spans="1:6" ht="15" customHeight="1">
      <c r="A33" s="142" t="s">
        <v>682</v>
      </c>
      <c r="B33" s="144" t="s">
        <v>1879</v>
      </c>
      <c r="C33" s="143" t="s">
        <v>1704</v>
      </c>
      <c r="D33" s="143" t="s">
        <v>1992</v>
      </c>
      <c r="E33" s="143" t="s">
        <v>2233</v>
      </c>
      <c r="F33" s="187" t="s">
        <v>610</v>
      </c>
    </row>
    <row r="34" spans="1:6" ht="15" customHeight="1">
      <c r="A34" s="142" t="s">
        <v>765</v>
      </c>
      <c r="B34" s="144" t="s">
        <v>1831</v>
      </c>
      <c r="C34" s="143" t="s">
        <v>1704</v>
      </c>
      <c r="D34" s="143" t="s">
        <v>1993</v>
      </c>
      <c r="E34" s="144" t="s">
        <v>2230</v>
      </c>
      <c r="F34" s="187" t="s">
        <v>156</v>
      </c>
    </row>
    <row r="35" spans="1:6">
      <c r="A35" s="142" t="s">
        <v>1136</v>
      </c>
      <c r="B35" s="144" t="s">
        <v>1832</v>
      </c>
      <c r="C35" s="143" t="s">
        <v>1704</v>
      </c>
      <c r="D35" s="143" t="s">
        <v>1993</v>
      </c>
      <c r="E35" s="143" t="s">
        <v>2249</v>
      </c>
      <c r="F35" s="187" t="s">
        <v>156</v>
      </c>
    </row>
    <row r="36" spans="1:6">
      <c r="A36" s="142" t="s">
        <v>769</v>
      </c>
      <c r="B36" s="144" t="s">
        <v>1837</v>
      </c>
      <c r="C36" s="143" t="s">
        <v>1704</v>
      </c>
      <c r="D36" s="143" t="s">
        <v>1992</v>
      </c>
      <c r="E36" s="143" t="s">
        <v>730</v>
      </c>
      <c r="F36" s="187" t="s">
        <v>2252</v>
      </c>
    </row>
    <row r="37" spans="1:6" ht="15" customHeight="1">
      <c r="A37" s="142" t="s">
        <v>1838</v>
      </c>
      <c r="B37" s="144" t="s">
        <v>1839</v>
      </c>
      <c r="C37" s="143" t="s">
        <v>1704</v>
      </c>
      <c r="D37" s="143" t="s">
        <v>1994</v>
      </c>
      <c r="E37" s="143" t="s">
        <v>2249</v>
      </c>
      <c r="F37" s="187" t="s">
        <v>2252</v>
      </c>
    </row>
    <row r="38" spans="1:6" ht="15" customHeight="1">
      <c r="A38" s="142" t="s">
        <v>678</v>
      </c>
      <c r="B38" s="144" t="s">
        <v>1845</v>
      </c>
      <c r="C38" s="143" t="s">
        <v>1704</v>
      </c>
      <c r="D38" s="143" t="s">
        <v>1992</v>
      </c>
      <c r="E38" s="143" t="s">
        <v>137</v>
      </c>
      <c r="F38" s="187" t="s">
        <v>2252</v>
      </c>
    </row>
    <row r="39" spans="1:6">
      <c r="A39" s="142" t="s">
        <v>1279</v>
      </c>
      <c r="B39" s="144" t="s">
        <v>1852</v>
      </c>
      <c r="C39" s="143" t="s">
        <v>1704</v>
      </c>
      <c r="D39" s="143" t="s">
        <v>1993</v>
      </c>
      <c r="E39" s="143" t="s">
        <v>2249</v>
      </c>
      <c r="F39" s="186" t="s">
        <v>2252</v>
      </c>
    </row>
    <row r="40" spans="1:6" ht="15" customHeight="1">
      <c r="A40" s="142" t="s">
        <v>642</v>
      </c>
      <c r="B40" s="144" t="s">
        <v>1853</v>
      </c>
      <c r="C40" s="143" t="s">
        <v>1704</v>
      </c>
      <c r="D40" s="143" t="s">
        <v>1993</v>
      </c>
      <c r="E40" s="143" t="s">
        <v>643</v>
      </c>
      <c r="F40" s="186" t="s">
        <v>2252</v>
      </c>
    </row>
    <row r="41" spans="1:6" ht="15" customHeight="1">
      <c r="A41" s="142" t="s">
        <v>1192</v>
      </c>
      <c r="B41" s="144" t="s">
        <v>1854</v>
      </c>
      <c r="C41" s="143" t="s">
        <v>1704</v>
      </c>
      <c r="D41" s="143" t="s">
        <v>1993</v>
      </c>
      <c r="E41" s="143" t="s">
        <v>2249</v>
      </c>
      <c r="F41" s="186" t="s">
        <v>2294</v>
      </c>
    </row>
    <row r="42" spans="1:6" ht="30" customHeight="1">
      <c r="A42" s="142" t="s">
        <v>1194</v>
      </c>
      <c r="B42" s="144" t="s">
        <v>1855</v>
      </c>
      <c r="C42" s="143" t="s">
        <v>1704</v>
      </c>
      <c r="D42" s="143" t="s">
        <v>1993</v>
      </c>
      <c r="E42" s="143" t="s">
        <v>2249</v>
      </c>
      <c r="F42" s="186" t="s">
        <v>2294</v>
      </c>
    </row>
    <row r="43" spans="1:6" ht="30" customHeight="1">
      <c r="A43" s="142" t="s">
        <v>1196</v>
      </c>
      <c r="B43" s="144" t="s">
        <v>1856</v>
      </c>
      <c r="C43" s="143" t="s">
        <v>1704</v>
      </c>
      <c r="D43" s="143" t="s">
        <v>1993</v>
      </c>
      <c r="E43" s="143" t="s">
        <v>2249</v>
      </c>
      <c r="F43" s="187" t="s">
        <v>150</v>
      </c>
    </row>
    <row r="44" spans="1:6" ht="15" customHeight="1">
      <c r="A44" s="142" t="s">
        <v>646</v>
      </c>
      <c r="B44" s="144" t="s">
        <v>1863</v>
      </c>
      <c r="C44" s="143" t="s">
        <v>1704</v>
      </c>
      <c r="D44" s="143" t="s">
        <v>1993</v>
      </c>
      <c r="E44" s="144" t="s">
        <v>2232</v>
      </c>
      <c r="F44" s="187" t="s">
        <v>2252</v>
      </c>
    </row>
    <row r="45" spans="1:6" ht="30" customHeight="1">
      <c r="A45" s="145" t="s">
        <v>710</v>
      </c>
      <c r="B45" s="154" t="s">
        <v>1763</v>
      </c>
      <c r="C45" s="146" t="s">
        <v>1704</v>
      </c>
      <c r="D45" s="143" t="s">
        <v>1993</v>
      </c>
      <c r="E45" s="143" t="s">
        <v>2233</v>
      </c>
      <c r="F45" s="187" t="s">
        <v>610</v>
      </c>
    </row>
    <row r="46" spans="1:6" ht="45" customHeight="1">
      <c r="A46" s="142" t="s">
        <v>766</v>
      </c>
      <c r="B46" s="144" t="s">
        <v>1868</v>
      </c>
      <c r="C46" s="143" t="s">
        <v>1704</v>
      </c>
      <c r="D46" s="143" t="s">
        <v>1992</v>
      </c>
      <c r="E46" s="144" t="s">
        <v>2230</v>
      </c>
      <c r="F46" s="187" t="s">
        <v>156</v>
      </c>
    </row>
    <row r="47" spans="1:6" ht="15" customHeight="1">
      <c r="A47" s="142" t="s">
        <v>647</v>
      </c>
      <c r="B47" s="154" t="s">
        <v>1880</v>
      </c>
      <c r="C47" s="146" t="s">
        <v>1704</v>
      </c>
      <c r="D47" s="143" t="s">
        <v>1993</v>
      </c>
      <c r="E47" s="144" t="s">
        <v>2232</v>
      </c>
      <c r="F47" s="187" t="s">
        <v>1681</v>
      </c>
    </row>
    <row r="48" spans="1:6" ht="45">
      <c r="A48" s="142" t="s">
        <v>648</v>
      </c>
      <c r="B48" s="144" t="s">
        <v>1869</v>
      </c>
      <c r="C48" s="143" t="s">
        <v>1704</v>
      </c>
      <c r="D48" s="143" t="s">
        <v>1992</v>
      </c>
      <c r="E48" s="144" t="s">
        <v>2232</v>
      </c>
      <c r="F48" s="187" t="s">
        <v>1681</v>
      </c>
    </row>
    <row r="49" spans="1:6" ht="30">
      <c r="A49" s="142" t="s">
        <v>621</v>
      </c>
      <c r="B49" s="144" t="s">
        <v>1870</v>
      </c>
      <c r="C49" s="143" t="s">
        <v>1704</v>
      </c>
      <c r="D49" s="143" t="s">
        <v>1993</v>
      </c>
      <c r="E49" s="144" t="s">
        <v>2259</v>
      </c>
      <c r="F49" s="187" t="s">
        <v>1156</v>
      </c>
    </row>
    <row r="50" spans="1:6" ht="30" customHeight="1">
      <c r="A50" s="142" t="s">
        <v>1285</v>
      </c>
      <c r="B50" s="144" t="s">
        <v>1871</v>
      </c>
      <c r="C50" s="143" t="s">
        <v>1704</v>
      </c>
      <c r="D50" s="143" t="s">
        <v>1993</v>
      </c>
      <c r="E50" s="143" t="s">
        <v>2249</v>
      </c>
      <c r="F50" s="187" t="s">
        <v>70</v>
      </c>
    </row>
    <row r="51" spans="1:6" ht="30">
      <c r="A51" s="142" t="s">
        <v>676</v>
      </c>
      <c r="B51" s="144" t="s">
        <v>1872</v>
      </c>
      <c r="C51" s="143" t="s">
        <v>1704</v>
      </c>
      <c r="D51" s="143" t="s">
        <v>1992</v>
      </c>
      <c r="E51" s="144" t="s">
        <v>2260</v>
      </c>
      <c r="F51" s="187" t="s">
        <v>1156</v>
      </c>
    </row>
    <row r="52" spans="1:6" ht="30" customHeight="1">
      <c r="A52" s="142" t="s">
        <v>701</v>
      </c>
      <c r="B52" s="144" t="s">
        <v>1891</v>
      </c>
      <c r="C52" s="143" t="s">
        <v>1704</v>
      </c>
      <c r="D52" s="143" t="s">
        <v>1993</v>
      </c>
      <c r="E52" s="31" t="s">
        <v>2233</v>
      </c>
      <c r="F52" s="111" t="s">
        <v>150</v>
      </c>
    </row>
    <row r="53" spans="1:6">
      <c r="A53" s="142" t="s">
        <v>628</v>
      </c>
      <c r="B53" s="144" t="s">
        <v>2300</v>
      </c>
      <c r="C53" s="143" t="s">
        <v>1804</v>
      </c>
      <c r="D53" s="143" t="s">
        <v>1992</v>
      </c>
      <c r="E53" s="143" t="s">
        <v>626</v>
      </c>
      <c r="F53" s="187" t="s">
        <v>610</v>
      </c>
    </row>
    <row r="54" spans="1:6">
      <c r="A54" s="142" t="s">
        <v>729</v>
      </c>
      <c r="B54" s="144" t="s">
        <v>1892</v>
      </c>
      <c r="C54" s="143" t="s">
        <v>1753</v>
      </c>
      <c r="D54" s="143" t="s">
        <v>1993</v>
      </c>
      <c r="E54" s="143" t="s">
        <v>730</v>
      </c>
      <c r="F54" s="187" t="s">
        <v>610</v>
      </c>
    </row>
    <row r="55" spans="1:6" ht="30" customHeight="1">
      <c r="A55" s="145" t="s">
        <v>731</v>
      </c>
      <c r="B55" s="144" t="s">
        <v>1892</v>
      </c>
      <c r="C55" s="143" t="s">
        <v>1753</v>
      </c>
      <c r="D55" s="143" t="s">
        <v>1993</v>
      </c>
      <c r="E55" s="143" t="s">
        <v>730</v>
      </c>
      <c r="F55" s="187" t="s">
        <v>610</v>
      </c>
    </row>
    <row r="56" spans="1:6" ht="15" customHeight="1">
      <c r="A56" s="142" t="s">
        <v>696</v>
      </c>
      <c r="B56" s="144" t="s">
        <v>1752</v>
      </c>
      <c r="C56" s="143" t="s">
        <v>1753</v>
      </c>
      <c r="D56" s="143" t="s">
        <v>1993</v>
      </c>
      <c r="E56" s="143" t="s">
        <v>692</v>
      </c>
      <c r="F56" s="187" t="s">
        <v>610</v>
      </c>
    </row>
    <row r="57" spans="1:6" ht="15" customHeight="1">
      <c r="A57" s="142" t="s">
        <v>732</v>
      </c>
      <c r="B57" s="144" t="s">
        <v>1892</v>
      </c>
      <c r="C57" s="143" t="s">
        <v>1753</v>
      </c>
      <c r="D57" s="143" t="s">
        <v>1993</v>
      </c>
      <c r="E57" s="143" t="s">
        <v>730</v>
      </c>
      <c r="F57" s="187" t="s">
        <v>610</v>
      </c>
    </row>
    <row r="58" spans="1:6" ht="15" customHeight="1">
      <c r="A58" s="147" t="s">
        <v>736</v>
      </c>
      <c r="B58" s="144" t="s">
        <v>1966</v>
      </c>
      <c r="C58" s="143" t="s">
        <v>1753</v>
      </c>
      <c r="D58" s="143" t="s">
        <v>1992</v>
      </c>
      <c r="E58" s="143" t="s">
        <v>730</v>
      </c>
      <c r="F58" s="187" t="s">
        <v>610</v>
      </c>
    </row>
    <row r="59" spans="1:6">
      <c r="A59" s="142" t="s">
        <v>734</v>
      </c>
      <c r="B59" s="144" t="s">
        <v>1892</v>
      </c>
      <c r="C59" s="143" t="s">
        <v>1753</v>
      </c>
      <c r="D59" s="143" t="s">
        <v>1993</v>
      </c>
      <c r="E59" s="143" t="s">
        <v>730</v>
      </c>
      <c r="F59" s="187" t="s">
        <v>610</v>
      </c>
    </row>
    <row r="60" spans="1:6">
      <c r="A60" s="142" t="s">
        <v>735</v>
      </c>
      <c r="B60" s="144" t="s">
        <v>2293</v>
      </c>
      <c r="C60" s="143" t="s">
        <v>1753</v>
      </c>
      <c r="D60" s="143" t="s">
        <v>1993</v>
      </c>
      <c r="E60" s="143" t="s">
        <v>730</v>
      </c>
      <c r="F60" s="187" t="s">
        <v>610</v>
      </c>
    </row>
    <row r="61" spans="1:6">
      <c r="A61" s="142" t="s">
        <v>733</v>
      </c>
      <c r="B61" s="144" t="s">
        <v>1892</v>
      </c>
      <c r="C61" s="143" t="s">
        <v>1753</v>
      </c>
      <c r="D61" s="143" t="s">
        <v>1993</v>
      </c>
      <c r="E61" s="143" t="s">
        <v>730</v>
      </c>
      <c r="F61" s="187" t="s">
        <v>610</v>
      </c>
    </row>
    <row r="62" spans="1:6">
      <c r="A62" s="142" t="s">
        <v>1820</v>
      </c>
      <c r="B62" s="144" t="s">
        <v>2486</v>
      </c>
      <c r="C62" s="143" t="s">
        <v>1819</v>
      </c>
      <c r="D62" s="143" t="s">
        <v>1993</v>
      </c>
      <c r="E62" s="143" t="s">
        <v>2249</v>
      </c>
      <c r="F62" s="187" t="s">
        <v>610</v>
      </c>
    </row>
    <row r="63" spans="1:6">
      <c r="A63" s="142" t="s">
        <v>933</v>
      </c>
      <c r="B63" s="144" t="s">
        <v>1818</v>
      </c>
      <c r="C63" s="143" t="s">
        <v>1819</v>
      </c>
      <c r="D63" s="143" t="s">
        <v>1992</v>
      </c>
      <c r="E63" s="143" t="s">
        <v>2249</v>
      </c>
      <c r="F63" s="187" t="s">
        <v>33</v>
      </c>
    </row>
    <row r="64" spans="1:6">
      <c r="A64" s="142" t="s">
        <v>1824</v>
      </c>
      <c r="B64" s="144" t="s">
        <v>1825</v>
      </c>
      <c r="C64" s="143" t="s">
        <v>1819</v>
      </c>
      <c r="D64" s="143" t="s">
        <v>1992</v>
      </c>
      <c r="E64" s="143" t="s">
        <v>2249</v>
      </c>
      <c r="F64" s="187" t="s">
        <v>33</v>
      </c>
    </row>
    <row r="65" spans="1:6" ht="45">
      <c r="A65" s="145" t="s">
        <v>631</v>
      </c>
      <c r="B65" s="144" t="s">
        <v>1980</v>
      </c>
      <c r="C65" s="143" t="s">
        <v>1724</v>
      </c>
      <c r="D65" s="143" t="s">
        <v>1992</v>
      </c>
      <c r="E65" s="144" t="s">
        <v>2225</v>
      </c>
      <c r="F65" s="186" t="s">
        <v>610</v>
      </c>
    </row>
    <row r="66" spans="1:6" ht="45">
      <c r="A66" s="142" t="s">
        <v>603</v>
      </c>
      <c r="B66" s="144" t="s">
        <v>1723</v>
      </c>
      <c r="C66" s="143" t="s">
        <v>1724</v>
      </c>
      <c r="D66" s="143" t="s">
        <v>1993</v>
      </c>
      <c r="E66" s="144" t="s">
        <v>2231</v>
      </c>
      <c r="F66" s="186" t="s">
        <v>80</v>
      </c>
    </row>
    <row r="67" spans="1:6">
      <c r="A67" s="142" t="s">
        <v>1637</v>
      </c>
      <c r="B67" s="144" t="s">
        <v>2262</v>
      </c>
      <c r="C67" s="143" t="s">
        <v>1724</v>
      </c>
      <c r="D67" s="143" t="s">
        <v>1992</v>
      </c>
      <c r="E67" s="143" t="s">
        <v>2249</v>
      </c>
      <c r="F67" s="186" t="s">
        <v>610</v>
      </c>
    </row>
    <row r="68" spans="1:6">
      <c r="A68" s="142" t="s">
        <v>1341</v>
      </c>
      <c r="B68" s="144" t="s">
        <v>1744</v>
      </c>
      <c r="C68" s="143" t="s">
        <v>1724</v>
      </c>
      <c r="D68" s="143" t="s">
        <v>1994</v>
      </c>
      <c r="E68" s="143" t="s">
        <v>2249</v>
      </c>
      <c r="F68" s="187" t="s">
        <v>93</v>
      </c>
    </row>
    <row r="69" spans="1:6" ht="60">
      <c r="A69" s="142" t="s">
        <v>671</v>
      </c>
      <c r="B69" s="144" t="s">
        <v>2264</v>
      </c>
      <c r="C69" s="143" t="s">
        <v>1724</v>
      </c>
      <c r="D69" s="143" t="s">
        <v>1993</v>
      </c>
      <c r="E69" s="144" t="s">
        <v>2235</v>
      </c>
      <c r="F69" s="187" t="s">
        <v>2547</v>
      </c>
    </row>
    <row r="70" spans="1:6">
      <c r="A70" s="142" t="s">
        <v>1321</v>
      </c>
      <c r="B70" s="144" t="s">
        <v>1754</v>
      </c>
      <c r="C70" s="143" t="s">
        <v>1724</v>
      </c>
      <c r="D70" s="143" t="s">
        <v>1993</v>
      </c>
      <c r="E70" s="143" t="s">
        <v>2249</v>
      </c>
      <c r="F70" s="187" t="s">
        <v>88</v>
      </c>
    </row>
    <row r="71" spans="1:6" ht="45">
      <c r="A71" s="142" t="s">
        <v>599</v>
      </c>
      <c r="B71" s="144" t="s">
        <v>2311</v>
      </c>
      <c r="C71" s="143" t="s">
        <v>1724</v>
      </c>
      <c r="D71" s="143" t="s">
        <v>1992</v>
      </c>
      <c r="E71" s="144" t="s">
        <v>2237</v>
      </c>
      <c r="F71" s="187" t="s">
        <v>122</v>
      </c>
    </row>
    <row r="72" spans="1:6" ht="30">
      <c r="A72" s="142" t="s">
        <v>630</v>
      </c>
      <c r="B72" s="144" t="s">
        <v>2266</v>
      </c>
      <c r="C72" s="143" t="s">
        <v>1724</v>
      </c>
      <c r="D72" s="143" t="s">
        <v>1993</v>
      </c>
      <c r="E72" s="144" t="s">
        <v>2239</v>
      </c>
      <c r="F72" s="187" t="s">
        <v>83</v>
      </c>
    </row>
    <row r="73" spans="1:6" ht="30">
      <c r="A73" s="142" t="s">
        <v>620</v>
      </c>
      <c r="B73" s="144" t="s">
        <v>2298</v>
      </c>
      <c r="C73" s="143" t="s">
        <v>1724</v>
      </c>
      <c r="D73" s="143" t="s">
        <v>1992</v>
      </c>
      <c r="E73" s="144" t="s">
        <v>2240</v>
      </c>
      <c r="F73" s="187" t="s">
        <v>610</v>
      </c>
    </row>
    <row r="74" spans="1:6">
      <c r="A74" s="142" t="s">
        <v>637</v>
      </c>
      <c r="B74" s="144" t="s">
        <v>1779</v>
      </c>
      <c r="C74" s="143" t="s">
        <v>1724</v>
      </c>
      <c r="D74" s="143" t="s">
        <v>1993</v>
      </c>
      <c r="E74" s="143" t="s">
        <v>2241</v>
      </c>
      <c r="F74" s="187" t="s">
        <v>83</v>
      </c>
    </row>
    <row r="75" spans="1:6">
      <c r="A75" s="142" t="s">
        <v>1317</v>
      </c>
      <c r="B75" s="144" t="s">
        <v>2295</v>
      </c>
      <c r="C75" s="143" t="s">
        <v>1724</v>
      </c>
      <c r="D75" s="143" t="s">
        <v>1993</v>
      </c>
      <c r="E75" s="143" t="s">
        <v>2249</v>
      </c>
      <c r="F75" s="187" t="s">
        <v>83</v>
      </c>
    </row>
    <row r="76" spans="1:6" ht="30">
      <c r="A76" s="142" t="s">
        <v>249</v>
      </c>
      <c r="B76" s="144" t="s">
        <v>1781</v>
      </c>
      <c r="C76" s="143" t="s">
        <v>1724</v>
      </c>
      <c r="D76" s="143" t="s">
        <v>1993</v>
      </c>
      <c r="E76" s="144" t="s">
        <v>2239</v>
      </c>
      <c r="F76" s="187" t="s">
        <v>610</v>
      </c>
    </row>
    <row r="77" spans="1:6" ht="30">
      <c r="A77" s="142" t="s">
        <v>635</v>
      </c>
      <c r="B77" s="144" t="s">
        <v>2271</v>
      </c>
      <c r="C77" s="143" t="s">
        <v>1724</v>
      </c>
      <c r="D77" s="143" t="s">
        <v>1992</v>
      </c>
      <c r="E77" s="144" t="s">
        <v>2242</v>
      </c>
      <c r="F77" s="187" t="s">
        <v>83</v>
      </c>
    </row>
    <row r="78" spans="1:6">
      <c r="A78" s="142" t="s">
        <v>690</v>
      </c>
      <c r="B78" s="144" t="s">
        <v>2272</v>
      </c>
      <c r="C78" s="143" t="s">
        <v>1724</v>
      </c>
      <c r="D78" s="143" t="s">
        <v>1993</v>
      </c>
      <c r="E78" s="143" t="s">
        <v>726</v>
      </c>
      <c r="F78" s="187" t="s">
        <v>83</v>
      </c>
    </row>
    <row r="79" spans="1:6" ht="30">
      <c r="A79" s="142" t="s">
        <v>641</v>
      </c>
      <c r="B79" s="144" t="s">
        <v>2296</v>
      </c>
      <c r="C79" s="143" t="s">
        <v>1724</v>
      </c>
      <c r="D79" s="143" t="s">
        <v>1993</v>
      </c>
      <c r="E79" s="144" t="s">
        <v>2244</v>
      </c>
      <c r="F79" s="187" t="s">
        <v>80</v>
      </c>
    </row>
    <row r="80" spans="1:6" ht="60">
      <c r="A80" s="142" t="s">
        <v>432</v>
      </c>
      <c r="B80" s="144" t="s">
        <v>2279</v>
      </c>
      <c r="C80" s="143" t="s">
        <v>1724</v>
      </c>
      <c r="D80" s="143" t="s">
        <v>1993</v>
      </c>
      <c r="E80" s="144" t="s">
        <v>2246</v>
      </c>
      <c r="F80" s="187" t="s">
        <v>134</v>
      </c>
    </row>
    <row r="81" spans="1:6">
      <c r="A81" s="142" t="s">
        <v>858</v>
      </c>
      <c r="B81" s="144" t="s">
        <v>2280</v>
      </c>
      <c r="C81" s="143" t="s">
        <v>1724</v>
      </c>
      <c r="D81" s="143" t="s">
        <v>1993</v>
      </c>
      <c r="E81" s="143" t="s">
        <v>2234</v>
      </c>
      <c r="F81" s="187" t="s">
        <v>80</v>
      </c>
    </row>
    <row r="82" spans="1:6" ht="90">
      <c r="A82" s="142" t="s">
        <v>424</v>
      </c>
      <c r="B82" s="144" t="s">
        <v>2281</v>
      </c>
      <c r="C82" s="143" t="s">
        <v>1724</v>
      </c>
      <c r="D82" s="143" t="s">
        <v>1993</v>
      </c>
      <c r="E82" s="144" t="s">
        <v>2247</v>
      </c>
      <c r="F82" s="187" t="s">
        <v>610</v>
      </c>
    </row>
    <row r="83" spans="1:6">
      <c r="A83" s="142" t="s">
        <v>1634</v>
      </c>
      <c r="B83" s="144" t="s">
        <v>1827</v>
      </c>
      <c r="C83" s="143" t="s">
        <v>1724</v>
      </c>
      <c r="D83" s="143" t="s">
        <v>1993</v>
      </c>
      <c r="E83" s="143" t="s">
        <v>2249</v>
      </c>
      <c r="F83" s="187" t="s">
        <v>122</v>
      </c>
    </row>
    <row r="84" spans="1:6" ht="60">
      <c r="A84" s="142" t="s">
        <v>600</v>
      </c>
      <c r="B84" s="144" t="s">
        <v>2283</v>
      </c>
      <c r="C84" s="143" t="s">
        <v>1724</v>
      </c>
      <c r="D84" s="143" t="s">
        <v>1994</v>
      </c>
      <c r="E84" s="144" t="s">
        <v>2329</v>
      </c>
      <c r="F84" s="187" t="s">
        <v>126</v>
      </c>
    </row>
    <row r="85" spans="1:6">
      <c r="A85" s="145" t="s">
        <v>705</v>
      </c>
      <c r="B85" s="144" t="s">
        <v>2286</v>
      </c>
      <c r="C85" s="143" t="s">
        <v>1724</v>
      </c>
      <c r="D85" s="143" t="s">
        <v>1993</v>
      </c>
      <c r="E85" s="143" t="s">
        <v>703</v>
      </c>
      <c r="F85" s="187" t="s">
        <v>1701</v>
      </c>
    </row>
    <row r="86" spans="1:6">
      <c r="A86" s="142" t="s">
        <v>632</v>
      </c>
      <c r="B86" s="144" t="s">
        <v>2302</v>
      </c>
      <c r="C86" s="143" t="s">
        <v>1724</v>
      </c>
      <c r="D86" s="143" t="s">
        <v>1993</v>
      </c>
      <c r="E86" s="143" t="s">
        <v>629</v>
      </c>
      <c r="F86" s="187" t="s">
        <v>1641</v>
      </c>
    </row>
    <row r="87" spans="1:6">
      <c r="A87" s="142" t="s">
        <v>609</v>
      </c>
      <c r="B87" s="144" t="s">
        <v>1846</v>
      </c>
      <c r="C87" s="143" t="s">
        <v>1724</v>
      </c>
      <c r="D87" s="143" t="s">
        <v>1993</v>
      </c>
      <c r="E87" s="143" t="s">
        <v>2322</v>
      </c>
      <c r="F87" s="187" t="s">
        <v>122</v>
      </c>
    </row>
    <row r="88" spans="1:6">
      <c r="A88" s="142" t="s">
        <v>727</v>
      </c>
      <c r="B88" s="144" t="s">
        <v>2304</v>
      </c>
      <c r="C88" s="143" t="s">
        <v>1724</v>
      </c>
      <c r="D88" s="143" t="s">
        <v>1993</v>
      </c>
      <c r="E88" s="143" t="s">
        <v>726</v>
      </c>
      <c r="F88" s="187" t="s">
        <v>2547</v>
      </c>
    </row>
    <row r="89" spans="1:6" ht="60">
      <c r="A89" s="142" t="s">
        <v>607</v>
      </c>
      <c r="B89" s="144" t="s">
        <v>1866</v>
      </c>
      <c r="C89" s="143" t="s">
        <v>1724</v>
      </c>
      <c r="D89" s="143" t="s">
        <v>1993</v>
      </c>
      <c r="E89" s="144" t="s">
        <v>2257</v>
      </c>
      <c r="F89" s="187" t="s">
        <v>80</v>
      </c>
    </row>
    <row r="90" spans="1:6" ht="30">
      <c r="A90" s="142" t="s">
        <v>724</v>
      </c>
      <c r="B90" s="144" t="s">
        <v>1867</v>
      </c>
      <c r="C90" s="143" t="s">
        <v>1724</v>
      </c>
      <c r="D90" s="143" t="s">
        <v>1993</v>
      </c>
      <c r="E90" s="144" t="s">
        <v>2258</v>
      </c>
      <c r="F90" s="187" t="s">
        <v>80</v>
      </c>
    </row>
    <row r="91" spans="1:6" ht="45">
      <c r="A91" s="142" t="s">
        <v>601</v>
      </c>
      <c r="B91" s="154" t="s">
        <v>1725</v>
      </c>
      <c r="C91" s="146" t="s">
        <v>1726</v>
      </c>
      <c r="D91" s="143" t="s">
        <v>1994</v>
      </c>
      <c r="E91" s="144" t="s">
        <v>2231</v>
      </c>
      <c r="F91" s="186" t="s">
        <v>118</v>
      </c>
    </row>
    <row r="92" spans="1:6">
      <c r="A92" s="142" t="s">
        <v>1551</v>
      </c>
      <c r="B92" s="144" t="s">
        <v>1755</v>
      </c>
      <c r="C92" s="143" t="s">
        <v>1726</v>
      </c>
      <c r="D92" s="143" t="s">
        <v>1993</v>
      </c>
      <c r="E92" s="143" t="s">
        <v>2249</v>
      </c>
      <c r="F92" s="187" t="s">
        <v>114</v>
      </c>
    </row>
    <row r="93" spans="1:6">
      <c r="A93" s="142" t="s">
        <v>1407</v>
      </c>
      <c r="B93" s="144" t="s">
        <v>1773</v>
      </c>
      <c r="C93" s="143" t="s">
        <v>1726</v>
      </c>
      <c r="D93" s="143" t="s">
        <v>1992</v>
      </c>
      <c r="E93" s="143" t="s">
        <v>2249</v>
      </c>
      <c r="F93" s="187" t="s">
        <v>110</v>
      </c>
    </row>
    <row r="94" spans="1:6">
      <c r="A94" s="142" t="s">
        <v>1425</v>
      </c>
      <c r="B94" s="144" t="s">
        <v>1794</v>
      </c>
      <c r="C94" s="143" t="s">
        <v>1726</v>
      </c>
      <c r="D94" s="143" t="s">
        <v>1993</v>
      </c>
      <c r="E94" s="143" t="s">
        <v>2249</v>
      </c>
      <c r="F94" s="187" t="s">
        <v>110</v>
      </c>
    </row>
    <row r="95" spans="1:6">
      <c r="A95" s="142" t="s">
        <v>1806</v>
      </c>
      <c r="B95" s="144" t="s">
        <v>1807</v>
      </c>
      <c r="C95" s="143" t="s">
        <v>1726</v>
      </c>
      <c r="D95" s="143" t="s">
        <v>1992</v>
      </c>
      <c r="E95" s="143" t="s">
        <v>2249</v>
      </c>
      <c r="F95" s="187" t="s">
        <v>610</v>
      </c>
    </row>
    <row r="96" spans="1:6">
      <c r="A96" s="142" t="s">
        <v>1608</v>
      </c>
      <c r="B96" s="144" t="s">
        <v>2285</v>
      </c>
      <c r="C96" s="143" t="s">
        <v>1726</v>
      </c>
      <c r="D96" s="143" t="s">
        <v>1993</v>
      </c>
      <c r="E96" s="143" t="s">
        <v>2249</v>
      </c>
      <c r="F96" s="187" t="s">
        <v>118</v>
      </c>
    </row>
    <row r="97" spans="1:6">
      <c r="A97" s="142" t="s">
        <v>1440</v>
      </c>
      <c r="B97" s="144" t="s">
        <v>1844</v>
      </c>
      <c r="C97" s="143" t="s">
        <v>1726</v>
      </c>
      <c r="D97" s="143" t="s">
        <v>1992</v>
      </c>
      <c r="E97" s="143" t="s">
        <v>2249</v>
      </c>
      <c r="F97" s="187" t="s">
        <v>110</v>
      </c>
    </row>
    <row r="98" spans="1:6">
      <c r="A98" s="142" t="s">
        <v>1441</v>
      </c>
      <c r="B98" s="144" t="s">
        <v>1851</v>
      </c>
      <c r="C98" s="143" t="s">
        <v>1726</v>
      </c>
      <c r="D98" s="143" t="s">
        <v>1993</v>
      </c>
      <c r="E98" s="143" t="s">
        <v>2249</v>
      </c>
      <c r="F98" s="187" t="s">
        <v>110</v>
      </c>
    </row>
    <row r="99" spans="1:6">
      <c r="A99" s="142" t="s">
        <v>717</v>
      </c>
      <c r="B99" s="144" t="s">
        <v>1861</v>
      </c>
      <c r="C99" s="143" t="s">
        <v>1726</v>
      </c>
      <c r="D99" s="143" t="s">
        <v>1992</v>
      </c>
      <c r="E99" s="143" t="s">
        <v>715</v>
      </c>
      <c r="F99" s="187" t="s">
        <v>2546</v>
      </c>
    </row>
    <row r="100" spans="1:6">
      <c r="A100" s="145" t="s">
        <v>707</v>
      </c>
      <c r="B100" s="154" t="s">
        <v>1979</v>
      </c>
      <c r="C100" s="146" t="s">
        <v>1726</v>
      </c>
      <c r="D100" s="143" t="s">
        <v>1992</v>
      </c>
      <c r="E100" s="151" t="s">
        <v>703</v>
      </c>
      <c r="F100" s="112" t="s">
        <v>118</v>
      </c>
    </row>
    <row r="101" spans="1:6">
      <c r="A101" s="145" t="s">
        <v>706</v>
      </c>
      <c r="B101" s="144" t="s">
        <v>1978</v>
      </c>
      <c r="C101" s="143" t="s">
        <v>1726</v>
      </c>
      <c r="D101" s="143" t="s">
        <v>1992</v>
      </c>
      <c r="E101" s="31" t="s">
        <v>703</v>
      </c>
      <c r="F101" s="111" t="s">
        <v>110</v>
      </c>
    </row>
    <row r="102" spans="1:6">
      <c r="A102" s="142" t="s">
        <v>619</v>
      </c>
      <c r="B102" s="144" t="s">
        <v>2290</v>
      </c>
      <c r="C102" s="143" t="s">
        <v>1757</v>
      </c>
      <c r="D102" s="143" t="s">
        <v>1993</v>
      </c>
      <c r="E102" s="143" t="s">
        <v>613</v>
      </c>
      <c r="F102" s="187" t="s">
        <v>610</v>
      </c>
    </row>
    <row r="103" spans="1:6" ht="30">
      <c r="A103" s="142" t="s">
        <v>653</v>
      </c>
      <c r="B103" s="144" t="s">
        <v>2291</v>
      </c>
      <c r="C103" s="143" t="s">
        <v>1757</v>
      </c>
      <c r="D103" s="143" t="s">
        <v>1994</v>
      </c>
      <c r="E103" s="144" t="s">
        <v>2236</v>
      </c>
      <c r="F103" s="187" t="s">
        <v>610</v>
      </c>
    </row>
    <row r="104" spans="1:6" ht="30">
      <c r="A104" s="142" t="s">
        <v>742</v>
      </c>
      <c r="B104" s="144" t="s">
        <v>1759</v>
      </c>
      <c r="C104" s="143" t="s">
        <v>1757</v>
      </c>
      <c r="D104" s="143" t="s">
        <v>1993</v>
      </c>
      <c r="E104" s="144" t="s">
        <v>2230</v>
      </c>
      <c r="F104" s="187" t="s">
        <v>610</v>
      </c>
    </row>
    <row r="105" spans="1:6">
      <c r="A105" s="142" t="s">
        <v>743</v>
      </c>
      <c r="B105" s="144" t="s">
        <v>1760</v>
      </c>
      <c r="C105" s="143" t="s">
        <v>1757</v>
      </c>
      <c r="D105" s="143" t="s">
        <v>1993</v>
      </c>
      <c r="E105" s="143" t="s">
        <v>730</v>
      </c>
      <c r="F105" s="187" t="s">
        <v>610</v>
      </c>
    </row>
    <row r="106" spans="1:6" ht="30">
      <c r="A106" s="142" t="s">
        <v>649</v>
      </c>
      <c r="B106" s="144" t="s">
        <v>1766</v>
      </c>
      <c r="C106" s="143" t="s">
        <v>1757</v>
      </c>
      <c r="D106" s="143" t="s">
        <v>1992</v>
      </c>
      <c r="E106" s="144" t="s">
        <v>2238</v>
      </c>
      <c r="F106" s="187" t="s">
        <v>610</v>
      </c>
    </row>
    <row r="107" spans="1:6">
      <c r="A107" s="145" t="s">
        <v>762</v>
      </c>
      <c r="B107" s="154" t="s">
        <v>2267</v>
      </c>
      <c r="C107" s="146" t="s">
        <v>1757</v>
      </c>
      <c r="D107" s="143" t="s">
        <v>1993</v>
      </c>
      <c r="E107" s="143" t="s">
        <v>730</v>
      </c>
      <c r="F107" s="187" t="s">
        <v>610</v>
      </c>
    </row>
    <row r="108" spans="1:6">
      <c r="A108" s="142" t="s">
        <v>763</v>
      </c>
      <c r="B108" s="144" t="s">
        <v>1772</v>
      </c>
      <c r="C108" s="143" t="s">
        <v>1757</v>
      </c>
      <c r="D108" s="143" t="s">
        <v>1993</v>
      </c>
      <c r="E108" s="143" t="s">
        <v>730</v>
      </c>
      <c r="F108" s="187" t="s">
        <v>610</v>
      </c>
    </row>
    <row r="109" spans="1:6">
      <c r="A109" s="142" t="s">
        <v>1775</v>
      </c>
      <c r="B109" s="144" t="s">
        <v>2269</v>
      </c>
      <c r="C109" s="143" t="s">
        <v>1757</v>
      </c>
      <c r="D109" s="143" t="s">
        <v>1992</v>
      </c>
      <c r="E109" s="143" t="s">
        <v>2249</v>
      </c>
      <c r="F109" s="187" t="s">
        <v>610</v>
      </c>
    </row>
    <row r="110" spans="1:6">
      <c r="A110" s="142" t="s">
        <v>749</v>
      </c>
      <c r="B110" s="144" t="s">
        <v>2270</v>
      </c>
      <c r="C110" s="143" t="s">
        <v>1757</v>
      </c>
      <c r="D110" s="143" t="s">
        <v>1993</v>
      </c>
      <c r="E110" s="143" t="s">
        <v>730</v>
      </c>
      <c r="F110" s="187" t="s">
        <v>610</v>
      </c>
    </row>
    <row r="111" spans="1:6">
      <c r="A111" s="142" t="s">
        <v>744</v>
      </c>
      <c r="B111" s="144" t="s">
        <v>2274</v>
      </c>
      <c r="C111" s="143" t="s">
        <v>1757</v>
      </c>
      <c r="D111" s="143" t="s">
        <v>1993</v>
      </c>
      <c r="E111" s="143" t="s">
        <v>730</v>
      </c>
      <c r="F111" s="187" t="s">
        <v>610</v>
      </c>
    </row>
    <row r="112" spans="1:6">
      <c r="A112" s="145" t="s">
        <v>750</v>
      </c>
      <c r="B112" s="144" t="s">
        <v>2277</v>
      </c>
      <c r="C112" s="143" t="s">
        <v>1882</v>
      </c>
      <c r="D112" s="143" t="s">
        <v>1993</v>
      </c>
      <c r="E112" s="143" t="s">
        <v>730</v>
      </c>
      <c r="F112" s="187" t="s">
        <v>610</v>
      </c>
    </row>
    <row r="113" spans="1:6">
      <c r="A113" s="142" t="s">
        <v>751</v>
      </c>
      <c r="B113" s="144" t="s">
        <v>1805</v>
      </c>
      <c r="C113" s="143" t="s">
        <v>1757</v>
      </c>
      <c r="D113" s="143" t="s">
        <v>1993</v>
      </c>
      <c r="E113" s="143" t="s">
        <v>730</v>
      </c>
      <c r="F113" s="187" t="s">
        <v>610</v>
      </c>
    </row>
    <row r="114" spans="1:6" ht="30">
      <c r="A114" s="142" t="s">
        <v>650</v>
      </c>
      <c r="B114" s="144" t="s">
        <v>2282</v>
      </c>
      <c r="C114" s="143" t="s">
        <v>1882</v>
      </c>
      <c r="D114" s="143" t="s">
        <v>1992</v>
      </c>
      <c r="E114" s="144" t="s">
        <v>2238</v>
      </c>
      <c r="F114" s="187" t="s">
        <v>610</v>
      </c>
    </row>
    <row r="115" spans="1:6">
      <c r="A115" s="145" t="s">
        <v>745</v>
      </c>
      <c r="B115" s="144" t="s">
        <v>2251</v>
      </c>
      <c r="C115" s="143" t="s">
        <v>1882</v>
      </c>
      <c r="D115" s="143" t="s">
        <v>1992</v>
      </c>
      <c r="E115" s="143" t="s">
        <v>730</v>
      </c>
      <c r="F115" s="187" t="s">
        <v>610</v>
      </c>
    </row>
    <row r="116" spans="1:6">
      <c r="A116" s="145" t="s">
        <v>746</v>
      </c>
      <c r="B116" s="144" t="s">
        <v>2303</v>
      </c>
      <c r="C116" s="143" t="s">
        <v>1882</v>
      </c>
      <c r="D116" s="143" t="s">
        <v>1993</v>
      </c>
      <c r="E116" s="143" t="s">
        <v>730</v>
      </c>
      <c r="F116" s="187" t="s">
        <v>610</v>
      </c>
    </row>
    <row r="117" spans="1:6">
      <c r="A117" s="145" t="s">
        <v>747</v>
      </c>
      <c r="B117" s="144" t="s">
        <v>1970</v>
      </c>
      <c r="C117" s="143" t="s">
        <v>1882</v>
      </c>
      <c r="D117" s="143" t="s">
        <v>1993</v>
      </c>
      <c r="E117" s="143" t="s">
        <v>730</v>
      </c>
      <c r="F117" s="187" t="s">
        <v>610</v>
      </c>
    </row>
    <row r="118" spans="1:6">
      <c r="A118" s="145" t="s">
        <v>748</v>
      </c>
      <c r="B118" s="144" t="s">
        <v>1970</v>
      </c>
      <c r="C118" s="143" t="s">
        <v>1882</v>
      </c>
      <c r="D118" s="143" t="s">
        <v>1993</v>
      </c>
      <c r="E118" s="143" t="s">
        <v>730</v>
      </c>
      <c r="F118" s="187" t="s">
        <v>610</v>
      </c>
    </row>
    <row r="119" spans="1:6">
      <c r="A119" s="142" t="s">
        <v>591</v>
      </c>
      <c r="B119" s="144" t="s">
        <v>2312</v>
      </c>
      <c r="C119" s="143" t="s">
        <v>1742</v>
      </c>
      <c r="D119" s="143" t="s">
        <v>1993</v>
      </c>
      <c r="E119" s="143" t="s">
        <v>91</v>
      </c>
      <c r="F119" s="187" t="s">
        <v>159</v>
      </c>
    </row>
    <row r="120" spans="1:6">
      <c r="A120" s="147" t="s">
        <v>740</v>
      </c>
      <c r="B120" s="154" t="s">
        <v>2265</v>
      </c>
      <c r="C120" s="146" t="s">
        <v>1742</v>
      </c>
      <c r="D120" s="143" t="s">
        <v>1993</v>
      </c>
      <c r="E120" s="143" t="s">
        <v>730</v>
      </c>
      <c r="F120" s="187" t="s">
        <v>159</v>
      </c>
    </row>
    <row r="121" spans="1:6" ht="30">
      <c r="A121" s="142" t="s">
        <v>739</v>
      </c>
      <c r="B121" s="144" t="s">
        <v>2310</v>
      </c>
      <c r="C121" s="143" t="s">
        <v>1742</v>
      </c>
      <c r="D121" s="143" t="s">
        <v>1992</v>
      </c>
      <c r="E121" s="144" t="s">
        <v>2230</v>
      </c>
      <c r="F121" s="187" t="s">
        <v>159</v>
      </c>
    </row>
    <row r="122" spans="1:6">
      <c r="A122" s="142" t="s">
        <v>1669</v>
      </c>
      <c r="B122" s="144" t="s">
        <v>2268</v>
      </c>
      <c r="C122" s="143" t="s">
        <v>1742</v>
      </c>
      <c r="D122" s="143" t="s">
        <v>1993</v>
      </c>
      <c r="E122" s="143" t="s">
        <v>2249</v>
      </c>
      <c r="F122" s="187" t="s">
        <v>139</v>
      </c>
    </row>
    <row r="123" spans="1:6">
      <c r="A123" s="142" t="s">
        <v>738</v>
      </c>
      <c r="B123" s="144" t="s">
        <v>2273</v>
      </c>
      <c r="C123" s="143" t="s">
        <v>1742</v>
      </c>
      <c r="D123" s="143" t="s">
        <v>1993</v>
      </c>
      <c r="E123" s="143" t="s">
        <v>730</v>
      </c>
      <c r="F123" s="187" t="s">
        <v>159</v>
      </c>
    </row>
    <row r="124" spans="1:6">
      <c r="A124" s="142" t="s">
        <v>1671</v>
      </c>
      <c r="B124" s="144" t="s">
        <v>1788</v>
      </c>
      <c r="C124" s="143" t="s">
        <v>1742</v>
      </c>
      <c r="D124" s="143" t="s">
        <v>1993</v>
      </c>
      <c r="E124" s="143" t="s">
        <v>2249</v>
      </c>
      <c r="F124" s="187" t="s">
        <v>139</v>
      </c>
    </row>
    <row r="125" spans="1:6">
      <c r="A125" s="142" t="s">
        <v>1677</v>
      </c>
      <c r="B125" s="144" t="s">
        <v>2289</v>
      </c>
      <c r="C125" s="143" t="s">
        <v>1742</v>
      </c>
      <c r="D125" s="143" t="s">
        <v>1992</v>
      </c>
      <c r="E125" s="143" t="s">
        <v>2249</v>
      </c>
      <c r="F125" s="187" t="s">
        <v>139</v>
      </c>
    </row>
    <row r="126" spans="1:6">
      <c r="A126" s="142" t="s">
        <v>1708</v>
      </c>
      <c r="B126" s="144" t="s">
        <v>2219</v>
      </c>
      <c r="C126" s="143" t="s">
        <v>1710</v>
      </c>
      <c r="D126" s="143" t="s">
        <v>1994</v>
      </c>
      <c r="E126" s="143" t="s">
        <v>2249</v>
      </c>
      <c r="F126" s="187" t="s">
        <v>2546</v>
      </c>
    </row>
    <row r="127" spans="1:6" ht="30">
      <c r="A127" s="142" t="s">
        <v>754</v>
      </c>
      <c r="B127" s="144" t="s">
        <v>2261</v>
      </c>
      <c r="C127" s="143" t="s">
        <v>1710</v>
      </c>
      <c r="D127" s="143" t="s">
        <v>1992</v>
      </c>
      <c r="E127" s="144" t="s">
        <v>2230</v>
      </c>
      <c r="F127" s="187" t="s">
        <v>2546</v>
      </c>
    </row>
    <row r="128" spans="1:6">
      <c r="A128" s="142" t="s">
        <v>755</v>
      </c>
      <c r="B128" s="144" t="s">
        <v>1720</v>
      </c>
      <c r="C128" s="143" t="s">
        <v>1710</v>
      </c>
      <c r="D128" s="143" t="s">
        <v>1993</v>
      </c>
      <c r="E128" s="143" t="s">
        <v>730</v>
      </c>
      <c r="F128" s="187" t="s">
        <v>2546</v>
      </c>
    </row>
    <row r="129" spans="1:6">
      <c r="A129" s="142" t="s">
        <v>1730</v>
      </c>
      <c r="B129" s="144" t="s">
        <v>2263</v>
      </c>
      <c r="C129" s="143" t="s">
        <v>1710</v>
      </c>
      <c r="D129" s="143" t="s">
        <v>1993</v>
      </c>
      <c r="E129" s="143" t="s">
        <v>2249</v>
      </c>
      <c r="F129" s="187" t="s">
        <v>2546</v>
      </c>
    </row>
    <row r="130" spans="1:6">
      <c r="A130" s="142" t="s">
        <v>1732</v>
      </c>
      <c r="B130" s="144" t="s">
        <v>2220</v>
      </c>
      <c r="C130" s="143" t="s">
        <v>1710</v>
      </c>
      <c r="D130" s="143" t="s">
        <v>1992</v>
      </c>
      <c r="E130" s="143" t="s">
        <v>2249</v>
      </c>
      <c r="F130" s="187" t="s">
        <v>2546</v>
      </c>
    </row>
    <row r="131" spans="1:6">
      <c r="A131" s="142" t="s">
        <v>1734</v>
      </c>
      <c r="B131" s="144" t="s">
        <v>1735</v>
      </c>
      <c r="C131" s="143" t="s">
        <v>1710</v>
      </c>
      <c r="D131" s="143" t="s">
        <v>1994</v>
      </c>
      <c r="E131" s="143" t="s">
        <v>2249</v>
      </c>
      <c r="F131" s="187" t="s">
        <v>2546</v>
      </c>
    </row>
    <row r="132" spans="1:6">
      <c r="A132" s="142" t="s">
        <v>1736</v>
      </c>
      <c r="B132" s="144" t="s">
        <v>1737</v>
      </c>
      <c r="C132" s="143" t="s">
        <v>1710</v>
      </c>
      <c r="D132" s="143" t="s">
        <v>1994</v>
      </c>
      <c r="E132" s="143" t="s">
        <v>2249</v>
      </c>
      <c r="F132" s="187" t="s">
        <v>2546</v>
      </c>
    </row>
    <row r="133" spans="1:6">
      <c r="A133" s="142" t="s">
        <v>772</v>
      </c>
      <c r="B133" s="144" t="s">
        <v>2221</v>
      </c>
      <c r="C133" s="143" t="s">
        <v>1710</v>
      </c>
      <c r="D133" s="143" t="s">
        <v>1994</v>
      </c>
      <c r="E133" s="143" t="s">
        <v>770</v>
      </c>
      <c r="F133" s="187" t="s">
        <v>2546</v>
      </c>
    </row>
    <row r="134" spans="1:6">
      <c r="A134" s="142" t="s">
        <v>1739</v>
      </c>
      <c r="B134" s="144" t="s">
        <v>1740</v>
      </c>
      <c r="C134" s="143" t="s">
        <v>1710</v>
      </c>
      <c r="D134" s="143" t="s">
        <v>1993</v>
      </c>
      <c r="E134" s="143" t="s">
        <v>2249</v>
      </c>
      <c r="F134" s="187" t="s">
        <v>2546</v>
      </c>
    </row>
    <row r="135" spans="1:6">
      <c r="A135" s="142" t="s">
        <v>1747</v>
      </c>
      <c r="B135" s="144" t="s">
        <v>1748</v>
      </c>
      <c r="C135" s="143" t="s">
        <v>1710</v>
      </c>
      <c r="D135" s="143" t="s">
        <v>1994</v>
      </c>
      <c r="E135" s="143" t="s">
        <v>2249</v>
      </c>
      <c r="F135" s="187" t="s">
        <v>2546</v>
      </c>
    </row>
    <row r="136" spans="1:6">
      <c r="A136" s="142" t="s">
        <v>1764</v>
      </c>
      <c r="B136" s="144" t="s">
        <v>1765</v>
      </c>
      <c r="C136" s="143" t="s">
        <v>1710</v>
      </c>
      <c r="D136" s="143" t="s">
        <v>1994</v>
      </c>
      <c r="E136" s="143" t="s">
        <v>2249</v>
      </c>
      <c r="F136" s="187" t="s">
        <v>2546</v>
      </c>
    </row>
    <row r="137" spans="1:6" ht="30">
      <c r="A137" s="142" t="s">
        <v>753</v>
      </c>
      <c r="B137" s="144" t="s">
        <v>1768</v>
      </c>
      <c r="C137" s="143" t="s">
        <v>1710</v>
      </c>
      <c r="D137" s="143" t="s">
        <v>1994</v>
      </c>
      <c r="E137" s="144" t="s">
        <v>2230</v>
      </c>
      <c r="F137" s="187" t="s">
        <v>610</v>
      </c>
    </row>
    <row r="138" spans="1:6">
      <c r="A138" s="147" t="s">
        <v>752</v>
      </c>
      <c r="B138" s="144" t="s">
        <v>1972</v>
      </c>
      <c r="C138" s="143" t="s">
        <v>1710</v>
      </c>
      <c r="D138" s="143" t="s">
        <v>1993</v>
      </c>
      <c r="E138" s="143" t="s">
        <v>730</v>
      </c>
      <c r="F138" s="187" t="s">
        <v>610</v>
      </c>
    </row>
    <row r="139" spans="1:6">
      <c r="A139" s="142" t="s">
        <v>1795</v>
      </c>
      <c r="B139" s="144" t="s">
        <v>2275</v>
      </c>
      <c r="C139" s="143" t="s">
        <v>1710</v>
      </c>
      <c r="D139" s="143" t="s">
        <v>1993</v>
      </c>
      <c r="E139" s="143" t="s">
        <v>2249</v>
      </c>
      <c r="F139" s="187" t="s">
        <v>2546</v>
      </c>
    </row>
    <row r="140" spans="1:6">
      <c r="A140" s="142" t="s">
        <v>1798</v>
      </c>
      <c r="B140" s="144" t="s">
        <v>2276</v>
      </c>
      <c r="C140" s="143" t="s">
        <v>1710</v>
      </c>
      <c r="D140" s="143" t="s">
        <v>1992</v>
      </c>
      <c r="E140" s="143" t="s">
        <v>2249</v>
      </c>
      <c r="F140" s="187" t="s">
        <v>2546</v>
      </c>
    </row>
    <row r="141" spans="1:6">
      <c r="A141" s="142" t="s">
        <v>1800</v>
      </c>
      <c r="B141" s="144" t="s">
        <v>1801</v>
      </c>
      <c r="C141" s="143" t="s">
        <v>1710</v>
      </c>
      <c r="D141" s="143" t="s">
        <v>1994</v>
      </c>
      <c r="E141" s="143" t="s">
        <v>2249</v>
      </c>
      <c r="F141" s="187" t="s">
        <v>2546</v>
      </c>
    </row>
    <row r="142" spans="1:6">
      <c r="A142" s="142" t="s">
        <v>741</v>
      </c>
      <c r="B142" s="144" t="s">
        <v>1802</v>
      </c>
      <c r="C142" s="143" t="s">
        <v>1710</v>
      </c>
      <c r="D142" s="143" t="s">
        <v>1994</v>
      </c>
      <c r="E142" s="143" t="s">
        <v>730</v>
      </c>
      <c r="F142" s="187" t="s">
        <v>2546</v>
      </c>
    </row>
    <row r="143" spans="1:6">
      <c r="A143" s="142" t="s">
        <v>775</v>
      </c>
      <c r="B143" s="144" t="s">
        <v>2278</v>
      </c>
      <c r="C143" s="143" t="s">
        <v>1710</v>
      </c>
      <c r="D143" s="143" t="s">
        <v>1992</v>
      </c>
      <c r="E143" s="143" t="s">
        <v>770</v>
      </c>
      <c r="F143" s="187" t="s">
        <v>610</v>
      </c>
    </row>
    <row r="144" spans="1:6">
      <c r="A144" s="142" t="s">
        <v>1809</v>
      </c>
      <c r="B144" s="144" t="s">
        <v>1810</v>
      </c>
      <c r="C144" s="143" t="s">
        <v>1710</v>
      </c>
      <c r="D144" s="143" t="s">
        <v>1994</v>
      </c>
      <c r="E144" s="143" t="s">
        <v>2249</v>
      </c>
      <c r="F144" s="187" t="s">
        <v>2546</v>
      </c>
    </row>
    <row r="145" spans="1:6">
      <c r="A145" s="142" t="s">
        <v>1811</v>
      </c>
      <c r="B145" s="144" t="s">
        <v>1812</v>
      </c>
      <c r="C145" s="143" t="s">
        <v>1710</v>
      </c>
      <c r="D145" s="143" t="s">
        <v>1994</v>
      </c>
      <c r="E145" s="143" t="s">
        <v>2249</v>
      </c>
      <c r="F145" s="187" t="s">
        <v>2546</v>
      </c>
    </row>
    <row r="146" spans="1:6">
      <c r="A146" s="142" t="s">
        <v>764</v>
      </c>
      <c r="B146" s="144" t="s">
        <v>1814</v>
      </c>
      <c r="C146" s="143" t="s">
        <v>1710</v>
      </c>
      <c r="D146" s="143" t="s">
        <v>1993</v>
      </c>
      <c r="E146" s="143" t="s">
        <v>730</v>
      </c>
      <c r="F146" s="187" t="s">
        <v>2546</v>
      </c>
    </row>
    <row r="147" spans="1:6">
      <c r="A147" s="142" t="s">
        <v>1815</v>
      </c>
      <c r="B147" s="144" t="s">
        <v>2301</v>
      </c>
      <c r="C147" s="143" t="s">
        <v>1710</v>
      </c>
      <c r="D147" s="143" t="s">
        <v>1994</v>
      </c>
      <c r="E147" s="143" t="s">
        <v>2249</v>
      </c>
      <c r="F147" s="187" t="s">
        <v>2546</v>
      </c>
    </row>
    <row r="148" spans="1:6" ht="30">
      <c r="A148" s="142" t="s">
        <v>759</v>
      </c>
      <c r="B148" s="144" t="s">
        <v>1833</v>
      </c>
      <c r="C148" s="143" t="s">
        <v>1710</v>
      </c>
      <c r="D148" s="143" t="s">
        <v>1994</v>
      </c>
      <c r="E148" s="144" t="s">
        <v>2230</v>
      </c>
      <c r="F148" s="187" t="s">
        <v>2546</v>
      </c>
    </row>
    <row r="149" spans="1:6">
      <c r="A149" s="142" t="s">
        <v>1834</v>
      </c>
      <c r="B149" s="144" t="s">
        <v>2284</v>
      </c>
      <c r="C149" s="143" t="s">
        <v>1710</v>
      </c>
      <c r="D149" s="143" t="s">
        <v>1993</v>
      </c>
      <c r="E149" s="143" t="s">
        <v>2249</v>
      </c>
      <c r="F149" s="187" t="s">
        <v>2546</v>
      </c>
    </row>
    <row r="150" spans="1:6">
      <c r="A150" s="145" t="s">
        <v>776</v>
      </c>
      <c r="B150" s="154" t="s">
        <v>2287</v>
      </c>
      <c r="C150" s="146" t="s">
        <v>1710</v>
      </c>
      <c r="D150" s="143" t="s">
        <v>1993</v>
      </c>
      <c r="E150" s="143" t="s">
        <v>770</v>
      </c>
      <c r="F150" s="187" t="s">
        <v>2546</v>
      </c>
    </row>
    <row r="151" spans="1:6">
      <c r="A151" s="142" t="s">
        <v>1840</v>
      </c>
      <c r="B151" s="144" t="s">
        <v>1841</v>
      </c>
      <c r="C151" s="143" t="s">
        <v>1710</v>
      </c>
      <c r="D151" s="143" t="s">
        <v>1994</v>
      </c>
      <c r="E151" s="143" t="s">
        <v>2249</v>
      </c>
      <c r="F151" s="187" t="s">
        <v>2546</v>
      </c>
    </row>
    <row r="152" spans="1:6">
      <c r="A152" s="142" t="s">
        <v>756</v>
      </c>
      <c r="B152" s="144" t="s">
        <v>1842</v>
      </c>
      <c r="C152" s="143" t="s">
        <v>1710</v>
      </c>
      <c r="D152" s="143" t="s">
        <v>1993</v>
      </c>
      <c r="E152" s="143" t="s">
        <v>730</v>
      </c>
      <c r="F152" s="187" t="s">
        <v>2546</v>
      </c>
    </row>
    <row r="153" spans="1:6">
      <c r="A153" s="142" t="s">
        <v>774</v>
      </c>
      <c r="B153" s="144" t="s">
        <v>1848</v>
      </c>
      <c r="C153" s="143" t="s">
        <v>1710</v>
      </c>
      <c r="D153" s="143" t="s">
        <v>1994</v>
      </c>
      <c r="E153" s="143" t="s">
        <v>770</v>
      </c>
      <c r="F153" s="187" t="s">
        <v>2546</v>
      </c>
    </row>
    <row r="154" spans="1:6">
      <c r="A154" s="142" t="s">
        <v>1849</v>
      </c>
      <c r="B154" s="144" t="s">
        <v>2288</v>
      </c>
      <c r="C154" s="143" t="s">
        <v>1710</v>
      </c>
      <c r="D154" s="143" t="s">
        <v>1994</v>
      </c>
      <c r="E154" s="143" t="s">
        <v>2249</v>
      </c>
      <c r="F154" s="187" t="s">
        <v>2546</v>
      </c>
    </row>
    <row r="155" spans="1:6">
      <c r="A155" s="142" t="s">
        <v>1857</v>
      </c>
      <c r="B155" s="144" t="s">
        <v>2305</v>
      </c>
      <c r="C155" s="143" t="s">
        <v>1710</v>
      </c>
      <c r="D155" s="143" t="s">
        <v>1994</v>
      </c>
      <c r="E155" s="143" t="s">
        <v>2249</v>
      </c>
      <c r="F155" s="187" t="s">
        <v>2546</v>
      </c>
    </row>
    <row r="156" spans="1:6" ht="30">
      <c r="A156" s="142" t="s">
        <v>761</v>
      </c>
      <c r="B156" s="144" t="s">
        <v>2306</v>
      </c>
      <c r="C156" s="143" t="s">
        <v>1710</v>
      </c>
      <c r="D156" s="143" t="s">
        <v>1994</v>
      </c>
      <c r="E156" s="144" t="s">
        <v>2230</v>
      </c>
      <c r="F156" s="187" t="s">
        <v>2546</v>
      </c>
    </row>
    <row r="157" spans="1:6">
      <c r="A157" s="142" t="s">
        <v>773</v>
      </c>
      <c r="B157" s="144" t="s">
        <v>2307</v>
      </c>
      <c r="C157" s="143" t="s">
        <v>1710</v>
      </c>
      <c r="D157" s="143" t="s">
        <v>1994</v>
      </c>
      <c r="E157" s="143" t="s">
        <v>770</v>
      </c>
      <c r="F157" s="187" t="s">
        <v>2546</v>
      </c>
    </row>
    <row r="158" spans="1:6">
      <c r="A158" s="142" t="s">
        <v>757</v>
      </c>
      <c r="B158" s="144" t="s">
        <v>1864</v>
      </c>
      <c r="C158" s="143" t="s">
        <v>1710</v>
      </c>
      <c r="D158" s="143" t="s">
        <v>1992</v>
      </c>
      <c r="E158" s="143" t="s">
        <v>730</v>
      </c>
      <c r="F158" s="187" t="s">
        <v>2546</v>
      </c>
    </row>
    <row r="159" spans="1:6">
      <c r="A159" s="142" t="s">
        <v>758</v>
      </c>
      <c r="B159" s="144" t="s">
        <v>1865</v>
      </c>
      <c r="C159" s="143" t="s">
        <v>1710</v>
      </c>
      <c r="D159" s="143" t="s">
        <v>1992</v>
      </c>
      <c r="E159" s="143" t="s">
        <v>730</v>
      </c>
      <c r="F159" s="187" t="s">
        <v>2546</v>
      </c>
    </row>
    <row r="160" spans="1:6" ht="30">
      <c r="A160" s="149" t="s">
        <v>760</v>
      </c>
      <c r="B160" s="153" t="s">
        <v>1873</v>
      </c>
      <c r="C160" s="150" t="s">
        <v>1710</v>
      </c>
      <c r="D160" s="150" t="s">
        <v>1993</v>
      </c>
      <c r="E160" s="153" t="s">
        <v>2230</v>
      </c>
      <c r="F160" s="187" t="s">
        <v>2546</v>
      </c>
    </row>
  </sheetData>
  <mergeCells count="1">
    <mergeCell ref="A1:E1"/>
  </mergeCells>
  <pageMargins left="0.511811024" right="0.511811024" top="0.78740157499999996" bottom="0.78740157499999996" header="0.31496062000000002" footer="0.31496062000000002"/>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F146169D17F0E4BB5C5621F1BE629D1" ma:contentTypeVersion="15" ma:contentTypeDescription="Crie um novo documento." ma:contentTypeScope="" ma:versionID="9e8eda41218fe9e1d2474d104d761d76">
  <xsd:schema xmlns:xsd="http://www.w3.org/2001/XMLSchema" xmlns:xs="http://www.w3.org/2001/XMLSchema" xmlns:p="http://schemas.microsoft.com/office/2006/metadata/properties" xmlns:ns2="aeb728ec-0f04-4bc0-a218-f4767ab8dfa2" xmlns:ns3="e5792ae3-6f7c-4b85-9288-002260079e03" targetNamespace="http://schemas.microsoft.com/office/2006/metadata/properties" ma:root="true" ma:fieldsID="75ad5b89a3b0e2ec14dbaa7d97ab051f" ns2:_="" ns3:_="">
    <xsd:import namespace="aeb728ec-0f04-4bc0-a218-f4767ab8dfa2"/>
    <xsd:import namespace="e5792ae3-6f7c-4b85-9288-002260079e0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b728ec-0f04-4bc0-a218-f4767ab8df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11439537-a661-4c27-8fe4-74698d587d7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792ae3-6f7c-4b85-9288-002260079e03"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14" nillable="true" ma:displayName="Taxonomy Catch All Column" ma:hidden="true" ma:list="{c9373286-d88b-4ce0-bb01-70edfa084ba5}" ma:internalName="TaxCatchAll" ma:showField="CatchAllData" ma:web="e5792ae3-6f7c-4b85-9288-002260079e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eb728ec-0f04-4bc0-a218-f4767ab8dfa2">
      <Terms xmlns="http://schemas.microsoft.com/office/infopath/2007/PartnerControls"/>
    </lcf76f155ced4ddcb4097134ff3c332f>
    <TaxCatchAll xmlns="e5792ae3-6f7c-4b85-9288-002260079e03" xsi:nil="true"/>
    <SharedWithUsers xmlns="e5792ae3-6f7c-4b85-9288-002260079e03">
      <UserInfo>
        <DisplayName/>
        <AccountId xsi:nil="true"/>
        <AccountType/>
      </UserInfo>
    </SharedWithUsers>
  </documentManagement>
</p:properties>
</file>

<file path=customXml/itemProps1.xml><?xml version="1.0" encoding="utf-8"?>
<ds:datastoreItem xmlns:ds="http://schemas.openxmlformats.org/officeDocument/2006/customXml" ds:itemID="{DF4F1075-4155-447B-806D-53534F2572A4}">
  <ds:schemaRefs>
    <ds:schemaRef ds:uri="http://schemas.microsoft.com/sharepoint/v3/contenttype/forms"/>
  </ds:schemaRefs>
</ds:datastoreItem>
</file>

<file path=customXml/itemProps2.xml><?xml version="1.0" encoding="utf-8"?>
<ds:datastoreItem xmlns:ds="http://schemas.openxmlformats.org/officeDocument/2006/customXml" ds:itemID="{05C3870C-4CAA-45C9-BF55-E6C851F7A3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b728ec-0f04-4bc0-a218-f4767ab8dfa2"/>
    <ds:schemaRef ds:uri="e5792ae3-6f7c-4b85-9288-002260079e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143179-7709-41CD-8C1F-340FB7952B7E}">
  <ds:schemaRefs>
    <ds:schemaRef ds:uri="http://schemas.microsoft.com/office/2006/metadata/properties"/>
    <ds:schemaRef ds:uri="http://schemas.microsoft.com/office/infopath/2007/PartnerControls"/>
    <ds:schemaRef ds:uri="aeb728ec-0f04-4bc0-a218-f4767ab8dfa2"/>
    <ds:schemaRef ds:uri="e5792ae3-6f7c-4b85-9288-002260079e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1</vt:i4>
      </vt:variant>
    </vt:vector>
  </HeadingPairs>
  <TitlesOfParts>
    <vt:vector size="8" baseType="lpstr">
      <vt:lpstr>Resumo-Legendas</vt:lpstr>
      <vt:lpstr>Perfil UCs do Sul</vt:lpstr>
      <vt:lpstr>Espécies nas UCs</vt:lpstr>
      <vt:lpstr>PANs no Sul</vt:lpstr>
      <vt:lpstr>Espécies em PAN</vt:lpstr>
      <vt:lpstr>validação</vt:lpstr>
      <vt:lpstr>Tabela Espécies ameaçadas e RV</vt:lpstr>
      <vt:lpstr>Espécie</vt:lpstr>
    </vt:vector>
  </TitlesOfParts>
  <Manager/>
  <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Lari</cp:lastModifiedBy>
  <cp:revision/>
  <dcterms:created xsi:type="dcterms:W3CDTF">2023-10-13T14:24:34Z</dcterms:created>
  <dcterms:modified xsi:type="dcterms:W3CDTF">2025-04-29T21:59:38Z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0x0101001F146169D17F0E4BB5C5621F1BE629D1</vt:lpwstr>
  </property>
  <property fmtid="{D5CDD505-2E9C-101B-9397-08002B2CF9AE}" pid="3" name="MSIP_Label_3738d5ca-cd4e-433d-8f2a-eee77df5cad2_Enabled">
    <vt:lpwstr>true</vt:lpwstr>
  </property>
  <property fmtid="{D5CDD505-2E9C-101B-9397-08002B2CF9AE}" pid="4" name="MSIP_Label_3738d5ca-cd4e-433d-8f2a-eee77df5cad2_SetDate">
    <vt:lpwstr>2023-10-13T14:24:39Z</vt:lpwstr>
  </property>
  <property fmtid="{D5CDD505-2E9C-101B-9397-08002B2CF9AE}" pid="5" name="MSIP_Label_3738d5ca-cd4e-433d-8f2a-eee77df5cad2_Method">
    <vt:lpwstr>Standard</vt:lpwstr>
  </property>
  <property fmtid="{D5CDD505-2E9C-101B-9397-08002B2CF9AE}" pid="6" name="MSIP_Label_3738d5ca-cd4e-433d-8f2a-eee77df5cad2_Name">
    <vt:lpwstr>defa4170-0d19-0005-0004-bc88714345d2</vt:lpwstr>
  </property>
  <property fmtid="{D5CDD505-2E9C-101B-9397-08002B2CF9AE}" pid="7" name="MSIP_Label_3738d5ca-cd4e-433d-8f2a-eee77df5cad2_SiteId">
    <vt:lpwstr>c14e2b56-c5bc-43bd-ad9c-408cf6cc3560</vt:lpwstr>
  </property>
  <property fmtid="{D5CDD505-2E9C-101B-9397-08002B2CF9AE}" pid="8" name="MSIP_Label_3738d5ca-cd4e-433d-8f2a-eee77df5cad2_ActionId">
    <vt:lpwstr>23df3d80-2d86-46a5-b65a-d8b4bddbaa66</vt:lpwstr>
  </property>
  <property fmtid="{D5CDD505-2E9C-101B-9397-08002B2CF9AE}" pid="9" name="MSIP_Label_3738d5ca-cd4e-433d-8f2a-eee77df5cad2_ContentBits">
    <vt:lpwstr>0</vt:lpwstr>
  </property>
  <property fmtid="{D5CDD505-2E9C-101B-9397-08002B2CF9AE}" pid="10" name="MediaServiceImageTags">
    <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ies>
</file>